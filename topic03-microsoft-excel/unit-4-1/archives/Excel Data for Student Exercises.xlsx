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defaultThemeVersion="124226"/>
  <mc:AlternateContent xmlns:mc="http://schemas.openxmlformats.org/markup-compatibility/2006">
    <mc:Choice Requires="x15">
      <x15ac:absPath xmlns:x15ac="http://schemas.microsoft.com/office/spreadsheetml/2010/11/ac" url="/Users/maireadmeagher/Documents/GitRepos/ICT-25/topicxx-wip/unit-4-labs-week-8/archives/"/>
    </mc:Choice>
  </mc:AlternateContent>
  <xr:revisionPtr revIDLastSave="0" documentId="13_ncr:1_{9700131B-6A26-B849-A172-902245FFFAB3}" xr6:coauthVersionLast="47" xr6:coauthVersionMax="47" xr10:uidLastSave="{00000000-0000-0000-0000-000000000000}"/>
  <bookViews>
    <workbookView xWindow="3520" yWindow="780" windowWidth="23160" windowHeight="17740" tabRatio="749" activeTab="1" xr2:uid="{00000000-000D-0000-FFFF-FFFF00000000}"/>
  </bookViews>
  <sheets>
    <sheet name="1- Stability Testing" sheetId="3" r:id="rId1"/>
    <sheet name="2- Glucose Levels" sheetId="4" r:id="rId2"/>
    <sheet name="3-Mice " sheetId="5" r:id="rId3"/>
    <sheet name="4-Haemoglobin" sheetId="12" r:id="rId4"/>
    <sheet name="5-Linearity Range" sheetId="8" r:id="rId5"/>
    <sheet name="6. Acid Base Reactions" sheetId="16" r:id="rId6"/>
  </sheets>
  <externalReferences>
    <externalReference r:id="rId7"/>
  </externalReferences>
  <definedNames>
    <definedName name="Hb">[1]Interpol3!$B$3:$B$15</definedName>
    <definedName name="Oxygen">[1]Interpol3!$A$3:$B$15</definedName>
    <definedName name="Pressures">[1]Interpol3!$A$3:$A$15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8" i="16" l="1"/>
  <c r="C27" i="16"/>
  <c r="C26" i="16"/>
  <c r="C25" i="16"/>
  <c r="C24" i="16"/>
  <c r="C23" i="16"/>
  <c r="C22" i="16"/>
  <c r="C21" i="16"/>
  <c r="C20" i="16"/>
  <c r="C19" i="16"/>
  <c r="C18" i="16"/>
  <c r="C17" i="16"/>
  <c r="C16" i="16"/>
  <c r="C15" i="16"/>
  <c r="C14" i="16"/>
  <c r="C13" i="16"/>
  <c r="C12" i="16"/>
  <c r="C11" i="16"/>
  <c r="C10" i="16"/>
  <c r="C9" i="16"/>
</calcChain>
</file>

<file path=xl/sharedStrings.xml><?xml version="1.0" encoding="utf-8"?>
<sst xmlns="http://schemas.openxmlformats.org/spreadsheetml/2006/main" count="61" uniqueCount="58">
  <si>
    <t>Sample Size Determination for Stability Testing on a New Pharmaceutical Product (at 95% &amp; 90% CI)</t>
  </si>
  <si>
    <t>margin/mean</t>
  </si>
  <si>
    <t>SD/mean</t>
  </si>
  <si>
    <r>
      <t xml:space="preserve">Monitoring of Glucose Levels of Identical Cultures of </t>
    </r>
    <r>
      <rPr>
        <b/>
        <u/>
        <sz val="14"/>
        <color rgb="FF0070C0"/>
        <rFont val="Arial"/>
        <family val="2"/>
      </rPr>
      <t>Escherichia Coli</t>
    </r>
    <r>
      <rPr>
        <b/>
        <sz val="14"/>
        <color rgb="FF0070C0"/>
        <rFont val="Arial"/>
        <family val="2"/>
      </rPr>
      <t xml:space="preserve"> with Additions of Lactose</t>
    </r>
  </si>
  <si>
    <t>Start</t>
  </si>
  <si>
    <t>End</t>
  </si>
  <si>
    <t>Time lapse</t>
  </si>
  <si>
    <t>[Glucose] (mol/l)</t>
  </si>
  <si>
    <t>[Glucose] (mol/min)</t>
  </si>
  <si>
    <t>Activities of 10 Mice in 2 Different Cages</t>
  </si>
  <si>
    <t>Sleep</t>
  </si>
  <si>
    <t>Eat</t>
  </si>
  <si>
    <t>Run</t>
  </si>
  <si>
    <t>Cage A</t>
  </si>
  <si>
    <t>Cage B</t>
  </si>
  <si>
    <t>Relationship Between Haemoglobin Percentage and the Erythrocyte Cell Count of Human Blood</t>
  </si>
  <si>
    <t>Hb%</t>
  </si>
  <si>
    <t>RBC Count</t>
  </si>
  <si>
    <t>Spectrophotometric Linearity Range for a New Pharmaceutical Formulation</t>
  </si>
  <si>
    <r>
      <t>Concentration</t>
    </r>
    <r>
      <rPr>
        <b/>
        <vertAlign val="subscript"/>
        <sz val="12"/>
        <color theme="5"/>
        <rFont val="Arial"/>
        <family val="2"/>
      </rPr>
      <t xml:space="preserve"> </t>
    </r>
    <r>
      <rPr>
        <b/>
        <sz val="12"/>
        <color theme="5"/>
        <rFont val="Arial"/>
        <family val="2"/>
      </rPr>
      <t>(M)</t>
    </r>
  </si>
  <si>
    <t>Absorption</t>
  </si>
  <si>
    <t>pH Titration Curves and 1st Derivative Plots for Acid-Base Reactions</t>
  </si>
  <si>
    <r>
      <t>V</t>
    </r>
    <r>
      <rPr>
        <b/>
        <i/>
        <vertAlign val="subscript"/>
        <sz val="11"/>
        <color theme="1"/>
        <rFont val="Calibri"/>
        <family val="2"/>
        <scheme val="minor"/>
      </rPr>
      <t>B</t>
    </r>
    <r>
      <rPr>
        <b/>
        <i/>
        <sz val="11"/>
        <color theme="1"/>
        <rFont val="Calibri"/>
        <family val="2"/>
        <scheme val="minor"/>
      </rPr>
      <t xml:space="preserve"> (cm</t>
    </r>
    <r>
      <rPr>
        <b/>
        <i/>
        <vertAlign val="superscript"/>
        <sz val="11"/>
        <color theme="1"/>
        <rFont val="Calibri"/>
        <family val="2"/>
        <scheme val="minor"/>
      </rPr>
      <t>3</t>
    </r>
    <r>
      <rPr>
        <b/>
        <i/>
        <sz val="11"/>
        <color theme="1"/>
        <rFont val="Calibri"/>
        <family val="2"/>
        <scheme val="minor"/>
      </rPr>
      <t xml:space="preserve">) = (Volume of base (0.1M NaOH) added to the acid). </t>
    </r>
    <r>
      <rPr>
        <b/>
        <i/>
        <u/>
        <sz val="11"/>
        <color theme="1"/>
        <rFont val="Calibri"/>
        <family val="2"/>
        <scheme val="minor"/>
      </rPr>
      <t>Note:</t>
    </r>
    <r>
      <rPr>
        <b/>
        <i/>
        <sz val="11"/>
        <color theme="1"/>
        <rFont val="Calibri"/>
        <family val="2"/>
        <scheme val="minor"/>
      </rPr>
      <t xml:space="preserve"> The base was added slowly to a beaker containing 25 cm</t>
    </r>
    <r>
      <rPr>
        <b/>
        <i/>
        <vertAlign val="superscript"/>
        <sz val="11"/>
        <color theme="1"/>
        <rFont val="Calibri"/>
        <family val="2"/>
        <scheme val="minor"/>
      </rPr>
      <t xml:space="preserve">3 </t>
    </r>
    <r>
      <rPr>
        <b/>
        <i/>
        <sz val="11"/>
        <color theme="1"/>
        <rFont val="Calibri"/>
        <family val="2"/>
        <scheme val="minor"/>
      </rPr>
      <t>0.1M HCl. The pH of the solution was recorded after each addition.</t>
    </r>
  </si>
  <si>
    <r>
      <t>V</t>
    </r>
    <r>
      <rPr>
        <b/>
        <vertAlign val="subscript"/>
        <sz val="12"/>
        <color theme="1"/>
        <rFont val="Calibri"/>
        <family val="2"/>
        <scheme val="minor"/>
      </rPr>
      <t>B</t>
    </r>
    <r>
      <rPr>
        <b/>
        <sz val="12"/>
        <color theme="1"/>
        <rFont val="Calibri"/>
        <family val="2"/>
        <scheme val="minor"/>
      </rPr>
      <t xml:space="preserve"> (cm</t>
    </r>
    <r>
      <rPr>
        <b/>
        <vertAlign val="superscript"/>
        <sz val="12"/>
        <color theme="1"/>
        <rFont val="Calibri"/>
        <family val="2"/>
        <scheme val="minor"/>
      </rPr>
      <t>3</t>
    </r>
    <r>
      <rPr>
        <b/>
        <sz val="12"/>
        <color theme="1"/>
        <rFont val="Calibri"/>
        <family val="2"/>
        <scheme val="minor"/>
      </rPr>
      <t>)</t>
    </r>
  </si>
  <si>
    <t>pH</t>
  </si>
  <si>
    <t>∆pH/∆V</t>
  </si>
  <si>
    <t>Equivalence Point Determination</t>
  </si>
  <si>
    <r>
      <t>pH vs V</t>
    </r>
    <r>
      <rPr>
        <b/>
        <vertAlign val="subscript"/>
        <sz val="12"/>
        <color theme="1"/>
        <rFont val="Calibri"/>
        <family val="2"/>
        <scheme val="minor"/>
      </rPr>
      <t>B</t>
    </r>
  </si>
  <si>
    <r>
      <t>(∆pH/∆V) vs V</t>
    </r>
    <r>
      <rPr>
        <b/>
        <vertAlign val="subscript"/>
        <sz val="12"/>
        <color theme="1"/>
        <rFont val="Calibri"/>
        <family val="2"/>
        <scheme val="minor"/>
      </rPr>
      <t>B</t>
    </r>
  </si>
  <si>
    <t xml:space="preserve">1. Calculate time lapse in colums (difference between start and end time) </t>
  </si>
  <si>
    <t xml:space="preserve">2. Calculate Glucose (Mol/minute) </t>
  </si>
  <si>
    <t xml:space="preserve">(First row value hardcoded for you to check your formula) </t>
  </si>
  <si>
    <t xml:space="preserve">(first row value hardcoded for you to check) </t>
  </si>
  <si>
    <t xml:space="preserve">   label the axes and title the graph</t>
  </si>
  <si>
    <t xml:space="preserve">3. Insert a line graph for Glucose(mol/min)(Y axos)  vs timelapse (X axis) </t>
  </si>
  <si>
    <t xml:space="preserve">4. Insert line chart with markers. (same x, y axes) </t>
  </si>
  <si>
    <t xml:space="preserve">Change the axes limits  - x -&gt; should </t>
  </si>
  <si>
    <t xml:space="preserve">Produce the following graph: </t>
  </si>
  <si>
    <t>ToDo: Insert a graph that suitably demonstrates the data</t>
  </si>
  <si>
    <t>ToDo</t>
  </si>
  <si>
    <t xml:space="preserve">Produce these two graphs: </t>
  </si>
  <si>
    <r>
      <t>1.</t>
    </r>
    <r>
      <rPr>
        <sz val="7"/>
        <color rgb="FF000000"/>
        <rFont val="Times New Roman"/>
        <family val="1"/>
      </rPr>
      <t xml:space="preserve">     </t>
    </r>
    <r>
      <rPr>
        <sz val="11"/>
        <color rgb="FF000000"/>
        <rFont val="Calibri"/>
        <family val="2"/>
        <scheme val="minor"/>
      </rPr>
      <t>In cell C9 enter a formula to calculate ∆pH/∆V</t>
    </r>
  </si>
  <si>
    <r>
      <t>2.</t>
    </r>
    <r>
      <rPr>
        <sz val="7"/>
        <color rgb="FF000000"/>
        <rFont val="Times New Roman"/>
        <family val="1"/>
      </rPr>
      <t xml:space="preserve">     </t>
    </r>
    <r>
      <rPr>
        <sz val="11"/>
        <color rgb="FF000000"/>
        <rFont val="Calibri"/>
        <family val="2"/>
        <scheme val="minor"/>
      </rPr>
      <t>Plot an XY scatter chart with smooth lines of pH versus V</t>
    </r>
    <r>
      <rPr>
        <vertAlign val="subscript"/>
        <sz val="11"/>
        <color rgb="FF000000"/>
        <rFont val="Calibri"/>
        <family val="2"/>
        <scheme val="minor"/>
      </rPr>
      <t>B</t>
    </r>
    <r>
      <rPr>
        <sz val="11"/>
        <color rgb="FF000000"/>
        <rFont val="Calibri"/>
        <family val="2"/>
        <scheme val="minor"/>
      </rPr>
      <t xml:space="preserve"> (cm</t>
    </r>
    <r>
      <rPr>
        <vertAlign val="superscript"/>
        <sz val="11"/>
        <color rgb="FF000000"/>
        <rFont val="Calibri"/>
        <family val="2"/>
        <scheme val="minor"/>
      </rPr>
      <t>3</t>
    </r>
    <r>
      <rPr>
        <sz val="11"/>
        <color rgb="FF000000"/>
        <rFont val="Calibri"/>
        <family val="2"/>
        <scheme val="minor"/>
      </rPr>
      <t xml:space="preserve">) - </t>
    </r>
    <r>
      <rPr>
        <i/>
        <sz val="11"/>
        <color rgb="FF000000"/>
        <rFont val="Calibri"/>
        <family val="2"/>
        <scheme val="minor"/>
      </rPr>
      <t>(volume of base added (cm</t>
    </r>
    <r>
      <rPr>
        <i/>
        <vertAlign val="superscript"/>
        <sz val="11"/>
        <color rgb="FF000000"/>
        <rFont val="Calibri"/>
        <family val="2"/>
        <scheme val="minor"/>
      </rPr>
      <t>3</t>
    </r>
    <r>
      <rPr>
        <i/>
        <sz val="11"/>
        <color rgb="FF000000"/>
        <rFont val="Calibri"/>
        <family val="2"/>
        <scheme val="minor"/>
      </rPr>
      <t>))</t>
    </r>
    <r>
      <rPr>
        <sz val="11"/>
        <color rgb="FF000000"/>
        <rFont val="Calibri"/>
        <family val="2"/>
        <scheme val="minor"/>
      </rPr>
      <t xml:space="preserve">. </t>
    </r>
  </si>
  <si>
    <r>
      <t>3.</t>
    </r>
    <r>
      <rPr>
        <sz val="7"/>
        <color rgb="FF000000"/>
        <rFont val="Times New Roman"/>
        <family val="1"/>
      </rPr>
      <t xml:space="preserve">     </t>
    </r>
    <r>
      <rPr>
        <sz val="11"/>
        <color rgb="FF000000"/>
        <rFont val="Calibri"/>
        <family val="2"/>
        <scheme val="minor"/>
      </rPr>
      <t>Insert the correct axis labels.</t>
    </r>
  </si>
  <si>
    <r>
      <t>4.</t>
    </r>
    <r>
      <rPr>
        <sz val="7"/>
        <color rgb="FF000000"/>
        <rFont val="Times New Roman"/>
        <family val="1"/>
      </rPr>
      <t xml:space="preserve">     </t>
    </r>
    <r>
      <rPr>
        <sz val="11"/>
        <color rgb="FF000000"/>
        <rFont val="Calibri"/>
        <family val="2"/>
        <scheme val="minor"/>
      </rPr>
      <t>Insert the following chart title: “The pH Titration Curve of a Strong Acid (HCl) with a Strong Base (NaOH)”</t>
    </r>
  </si>
  <si>
    <r>
      <t>5.</t>
    </r>
    <r>
      <rPr>
        <sz val="7"/>
        <color rgb="FF000000"/>
        <rFont val="Times New Roman"/>
        <family val="1"/>
      </rPr>
      <t xml:space="preserve">     </t>
    </r>
    <r>
      <rPr>
        <sz val="11"/>
        <color rgb="FF000000"/>
        <rFont val="Calibri"/>
        <family val="2"/>
        <scheme val="minor"/>
      </rPr>
      <t>Determine the equivalence point using arrows to display this on the graph.</t>
    </r>
  </si>
  <si>
    <r>
      <t>6.</t>
    </r>
    <r>
      <rPr>
        <sz val="7"/>
        <color rgb="FF000000"/>
        <rFont val="Times New Roman"/>
        <family val="1"/>
      </rPr>
      <t xml:space="preserve">     </t>
    </r>
    <r>
      <rPr>
        <i/>
        <sz val="11"/>
        <color rgb="FF000000"/>
        <rFont val="Calibri"/>
        <family val="2"/>
        <scheme val="minor"/>
      </rPr>
      <t xml:space="preserve">Plot an </t>
    </r>
    <r>
      <rPr>
        <sz val="11"/>
        <color rgb="FF000000"/>
        <rFont val="Calibri"/>
        <family val="2"/>
        <scheme val="minor"/>
      </rPr>
      <t>XY scatter chart with smooth lines of pH versus ∆pH/∆V.</t>
    </r>
  </si>
  <si>
    <r>
      <t>7.</t>
    </r>
    <r>
      <rPr>
        <sz val="7"/>
        <color rgb="FF000000"/>
        <rFont val="Times New Roman"/>
        <family val="1"/>
      </rPr>
      <t xml:space="preserve">     </t>
    </r>
    <r>
      <rPr>
        <sz val="11"/>
        <color rgb="FF000000"/>
        <rFont val="Calibri"/>
        <family val="2"/>
        <scheme val="minor"/>
      </rPr>
      <t>Insert the correct axis labels.</t>
    </r>
  </si>
  <si>
    <r>
      <t>8.</t>
    </r>
    <r>
      <rPr>
        <sz val="7"/>
        <color rgb="FF000000"/>
        <rFont val="Times New Roman"/>
        <family val="1"/>
      </rPr>
      <t xml:space="preserve">     </t>
    </r>
    <r>
      <rPr>
        <sz val="11"/>
        <color rgb="FF000000"/>
        <rFont val="Calibri"/>
        <family val="2"/>
        <scheme val="minor"/>
      </rPr>
      <t>Insert the following chart title: “1</t>
    </r>
    <r>
      <rPr>
        <vertAlign val="superscript"/>
        <sz val="11"/>
        <color rgb="FF000000"/>
        <rFont val="Calibri"/>
        <family val="2"/>
        <scheme val="minor"/>
      </rPr>
      <t>st</t>
    </r>
    <r>
      <rPr>
        <sz val="11"/>
        <color rgb="FF000000"/>
        <rFont val="Calibri"/>
        <family val="2"/>
        <scheme val="minor"/>
      </rPr>
      <t xml:space="preserve"> Derivative Plot of a Strong Acid (HCl) with a Strong Base (NaOH)”</t>
    </r>
  </si>
  <si>
    <r>
      <t>9.</t>
    </r>
    <r>
      <rPr>
        <sz val="7"/>
        <color rgb="FF000000"/>
        <rFont val="Times New Roman"/>
        <family val="1"/>
      </rPr>
      <t xml:space="preserve">     </t>
    </r>
    <r>
      <rPr>
        <sz val="11"/>
        <color rgb="FF000000"/>
        <rFont val="Calibri"/>
        <family val="2"/>
        <scheme val="minor"/>
      </rPr>
      <t>Determine the equivalence point using arrows to display this on the graph.</t>
    </r>
  </si>
  <si>
    <r>
      <t>10.</t>
    </r>
    <r>
      <rPr>
        <sz val="7"/>
        <color rgb="FF000000"/>
        <rFont val="Times New Roman"/>
        <family val="1"/>
      </rPr>
      <t xml:space="preserve">  </t>
    </r>
    <r>
      <rPr>
        <sz val="11"/>
        <color rgb="FF000000"/>
        <rFont val="Calibri"/>
        <family val="2"/>
        <scheme val="minor"/>
      </rPr>
      <t xml:space="preserve">In cells G9 and G11 type in the equivalence points (i.e. volume of base required for the </t>
    </r>
  </si>
  <si>
    <t>neutralisation of the hydrochloric acid) determined from the pH Titration Curve and the 1st Derivative Plot.</t>
  </si>
  <si>
    <t>Instructions</t>
  </si>
  <si>
    <t>video here : https://youtu.be/KkG-Wzdhuwg?si=JABQoxwwzK53gkno</t>
  </si>
  <si>
    <t>video here: https://youtu.be/WqC3o5KXvtc?si=f2Eo2k5KoRt06ZX-</t>
  </si>
  <si>
    <t>video here: https://youtu.be/m-z1RYoveQc?si=u3u_G0NitBu1kO0M</t>
  </si>
  <si>
    <t>video here: https://youtu.be/aGmTs3mxZgQ?si=StC09phQh3t-Mqyk</t>
  </si>
  <si>
    <t>video here: https://youtu.be/kgPNYMT8CrA?si=XCBi3pwesD9CxhfG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</si>
</sst>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quot;$&quot;* #,##0.00_);_(&quot;$&quot;* \(#,##0.00\);_(&quot;$&quot;* &quot;-&quot;??_);_(@_)"/>
    <numFmt numFmtId="165" formatCode="###0.00_)"/>
    <numFmt numFmtId="166" formatCode="#,##0_)"/>
    <numFmt numFmtId="167" formatCode="0.000"/>
    <numFmt numFmtId="168" formatCode="0.0"/>
  </numFmts>
  <fonts count="50">
    <font>
      <sz val="11"/>
      <color theme="1"/>
      <name val="Calibri"/>
      <family val="2"/>
      <scheme val="minor"/>
    </font>
    <font>
      <sz val="10"/>
      <name val="Arial"/>
      <family val="2"/>
    </font>
    <font>
      <b/>
      <sz val="12"/>
      <name val="Arial"/>
      <family val="2"/>
    </font>
    <font>
      <sz val="11"/>
      <color indexed="8"/>
      <name val="Calibri"/>
      <family val="2"/>
    </font>
    <font>
      <sz val="11"/>
      <color indexed="9"/>
      <name val="Calibri"/>
      <family val="2"/>
    </font>
    <font>
      <sz val="12"/>
      <name val="Helv"/>
    </font>
    <font>
      <b/>
      <sz val="12"/>
      <name val="Helv"/>
    </font>
    <font>
      <sz val="10"/>
      <name val="Helv"/>
    </font>
    <font>
      <sz val="9"/>
      <name val="Helv"/>
    </font>
    <font>
      <vertAlign val="superscript"/>
      <sz val="12"/>
      <name val="Helv"/>
    </font>
    <font>
      <b/>
      <sz val="11"/>
      <color indexed="8"/>
      <name val="Calibri"/>
      <family val="2"/>
    </font>
    <font>
      <b/>
      <sz val="10"/>
      <name val="Helv"/>
    </font>
    <font>
      <b/>
      <sz val="9"/>
      <name val="Helv"/>
    </font>
    <font>
      <sz val="8.5"/>
      <name val="Helv"/>
    </font>
    <font>
      <sz val="10"/>
      <name val="Arial"/>
      <family val="2"/>
    </font>
    <font>
      <b/>
      <sz val="18"/>
      <color indexed="62"/>
      <name val="Cambria"/>
      <family val="2"/>
    </font>
    <font>
      <sz val="8"/>
      <name val="Helv"/>
    </font>
    <font>
      <b/>
      <sz val="14"/>
      <name val="Helv"/>
    </font>
    <font>
      <b/>
      <sz val="10"/>
      <name val="Arial"/>
      <family val="2"/>
    </font>
    <font>
      <sz val="12"/>
      <color theme="1"/>
      <name val="Arial"/>
      <family val="2"/>
    </font>
    <font>
      <b/>
      <sz val="12"/>
      <color theme="1"/>
      <name val="Arial"/>
      <family val="2"/>
    </font>
    <font>
      <b/>
      <i/>
      <sz val="10"/>
      <color theme="3"/>
      <name val="Arial"/>
      <family val="2"/>
    </font>
    <font>
      <b/>
      <sz val="10"/>
      <color theme="1"/>
      <name val="Arial"/>
      <family val="2"/>
    </font>
    <font>
      <b/>
      <i/>
      <sz val="11"/>
      <color theme="1"/>
      <name val="Calibri"/>
      <family val="2"/>
      <scheme val="minor"/>
    </font>
    <font>
      <b/>
      <i/>
      <vertAlign val="subscript"/>
      <sz val="11"/>
      <color theme="1"/>
      <name val="Calibri"/>
      <family val="2"/>
      <scheme val="minor"/>
    </font>
    <font>
      <b/>
      <i/>
      <vertAlign val="superscript"/>
      <sz val="11"/>
      <color theme="1"/>
      <name val="Calibri"/>
      <family val="2"/>
      <scheme val="minor"/>
    </font>
    <font>
      <b/>
      <i/>
      <u/>
      <sz val="11"/>
      <color theme="1"/>
      <name val="Calibri"/>
      <family val="2"/>
      <scheme val="minor"/>
    </font>
    <font>
      <sz val="11"/>
      <name val="Arial"/>
      <family val="2"/>
    </font>
    <font>
      <b/>
      <sz val="12"/>
      <color theme="1"/>
      <name val="Calibri"/>
      <family val="2"/>
      <scheme val="minor"/>
    </font>
    <font>
      <b/>
      <sz val="12"/>
      <color rgb="FF0070C0"/>
      <name val="Arial"/>
      <family val="2"/>
    </font>
    <font>
      <b/>
      <sz val="14"/>
      <color rgb="FF0070C0"/>
      <name val="Arial"/>
      <family val="2"/>
    </font>
    <font>
      <b/>
      <sz val="12"/>
      <color theme="5"/>
      <name val="Arial"/>
      <family val="2"/>
    </font>
    <font>
      <b/>
      <sz val="11"/>
      <name val="Arial"/>
      <family val="2"/>
    </font>
    <font>
      <b/>
      <sz val="12"/>
      <color rgb="FFFF0000"/>
      <name val="Arial"/>
      <family val="2"/>
    </font>
    <font>
      <sz val="12"/>
      <name val="Arial"/>
      <family val="2"/>
    </font>
    <font>
      <sz val="12"/>
      <color theme="1"/>
      <name val="Calibri"/>
      <family val="2"/>
      <scheme val="minor"/>
    </font>
    <font>
      <b/>
      <u/>
      <sz val="14"/>
      <color rgb="FF0070C0"/>
      <name val="Arial"/>
      <family val="2"/>
    </font>
    <font>
      <b/>
      <vertAlign val="subscript"/>
      <sz val="12"/>
      <color theme="5"/>
      <name val="Arial"/>
      <family val="2"/>
    </font>
    <font>
      <b/>
      <vertAlign val="subscript"/>
      <sz val="12"/>
      <color theme="1"/>
      <name val="Calibri"/>
      <family val="2"/>
      <scheme val="minor"/>
    </font>
    <font>
      <b/>
      <vertAlign val="superscript"/>
      <sz val="12"/>
      <color theme="1"/>
      <name val="Calibri"/>
      <family val="2"/>
      <scheme val="minor"/>
    </font>
    <font>
      <b/>
      <sz val="12"/>
      <color theme="1"/>
      <name val="Calibri"/>
      <family val="2"/>
    </font>
    <font>
      <sz val="12"/>
      <color rgb="FFFF0000"/>
      <name val="Arial"/>
      <family val="2"/>
    </font>
    <font>
      <sz val="11"/>
      <color rgb="FF000000"/>
      <name val="Calibri"/>
      <family val="2"/>
      <scheme val="minor"/>
    </font>
    <font>
      <sz val="7"/>
      <color rgb="FF000000"/>
      <name val="Times New Roman"/>
      <family val="1"/>
    </font>
    <font>
      <vertAlign val="subscript"/>
      <sz val="11"/>
      <color rgb="FF000000"/>
      <name val="Calibri"/>
      <family val="2"/>
      <scheme val="minor"/>
    </font>
    <font>
      <vertAlign val="superscript"/>
      <sz val="11"/>
      <color rgb="FF000000"/>
      <name val="Calibri"/>
      <family val="2"/>
      <scheme val="minor"/>
    </font>
    <font>
      <i/>
      <sz val="11"/>
      <color rgb="FF000000"/>
      <name val="Calibri"/>
      <family val="2"/>
      <scheme val="minor"/>
    </font>
    <font>
      <i/>
      <vertAlign val="superscript"/>
      <sz val="11"/>
      <color rgb="FF000000"/>
      <name val="Calibri"/>
      <family val="2"/>
      <scheme val="minor"/>
    </font>
    <font>
      <sz val="16"/>
      <color theme="1"/>
      <name val="Calibri (Body)"/>
    </font>
    <font>
      <b/>
      <sz val="11"/>
      <color theme="1"/>
      <name val="Calibri"/>
      <family val="2"/>
      <scheme val="minor"/>
    </font>
  </fonts>
  <fills count="23">
    <fill>
      <patternFill patternType="none"/>
    </fill>
    <fill>
      <patternFill patternType="gray125"/>
    </fill>
    <fill>
      <patternFill patternType="solid">
        <fgColor indexed="42"/>
        <bgColor indexed="64"/>
      </patternFill>
    </fill>
    <fill>
      <patternFill patternType="solid">
        <fgColor indexed="41"/>
        <bgColor indexed="64"/>
      </patternFill>
    </fill>
    <fill>
      <patternFill patternType="solid">
        <fgColor indexed="43"/>
        <bgColor indexed="64"/>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2"/>
        <bgColor indexed="9"/>
      </patternFill>
    </fill>
    <fill>
      <patternFill patternType="solid">
        <fgColor indexed="22"/>
        <bgColor indexed="55"/>
      </patternFill>
    </fill>
    <fill>
      <patternFill patternType="solid">
        <fgColor theme="3" tint="0.79998168889431442"/>
        <bgColor indexed="64"/>
      </patternFill>
    </fill>
    <fill>
      <patternFill patternType="solid">
        <fgColor rgb="FFFFC0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tint="0.39997558519241921"/>
        <bgColor indexed="64"/>
      </patternFill>
    </fill>
  </fills>
  <borders count="9">
    <border>
      <left/>
      <right/>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right/>
      <top/>
      <bottom style="thin">
        <color indexed="22"/>
      </bottom>
      <diagonal/>
    </border>
    <border>
      <left/>
      <right/>
      <top/>
      <bottom style="hair">
        <color auto="1"/>
      </bottom>
      <diagonal/>
    </border>
    <border>
      <left/>
      <right/>
      <top/>
      <bottom style="hair">
        <color indexed="8"/>
      </bottom>
      <diagonal/>
    </border>
    <border>
      <left style="medium">
        <color auto="1"/>
      </left>
      <right style="medium">
        <color auto="1"/>
      </right>
      <top style="medium">
        <color auto="1"/>
      </top>
      <bottom style="medium">
        <color auto="1"/>
      </bottom>
      <diagonal/>
    </border>
    <border>
      <left style="thin">
        <color auto="1"/>
      </left>
      <right/>
      <top style="thin">
        <color auto="1"/>
      </top>
      <bottom style="thin">
        <color auto="1"/>
      </bottom>
      <diagonal/>
    </border>
  </borders>
  <cellStyleXfs count="70">
    <xf numFmtId="0" fontId="0" fillId="0" borderId="0"/>
    <xf numFmtId="0" fontId="1" fillId="0" borderId="0"/>
    <xf numFmtId="0" fontId="3" fillId="5" borderId="0" applyNumberFormat="0" applyBorder="0" applyAlignment="0" applyProtection="0"/>
    <xf numFmtId="0" fontId="3" fillId="5" borderId="0" applyNumberFormat="0" applyBorder="0" applyAlignment="0" applyProtection="0"/>
    <xf numFmtId="0" fontId="4"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4" fillId="9" borderId="0" applyNumberFormat="0" applyBorder="0" applyAlignment="0" applyProtection="0"/>
    <xf numFmtId="0" fontId="3" fillId="7" borderId="0" applyNumberFormat="0" applyBorder="0" applyAlignment="0" applyProtection="0"/>
    <xf numFmtId="0" fontId="3" fillId="10" borderId="0" applyNumberFormat="0" applyBorder="0" applyAlignment="0" applyProtection="0"/>
    <xf numFmtId="0" fontId="4" fillId="8"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4" fillId="8" borderId="0" applyNumberFormat="0" applyBorder="0" applyAlignment="0" applyProtection="0"/>
    <xf numFmtId="0" fontId="3" fillId="11" borderId="0" applyNumberFormat="0" applyBorder="0" applyAlignment="0" applyProtection="0"/>
    <xf numFmtId="0" fontId="3" fillId="5" borderId="0" applyNumberFormat="0" applyBorder="0" applyAlignment="0" applyProtection="0"/>
    <xf numFmtId="0" fontId="4" fillId="6"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4" fillId="12" borderId="0" applyNumberFormat="0" applyBorder="0" applyAlignment="0" applyProtection="0"/>
    <xf numFmtId="0" fontId="5" fillId="0" borderId="0">
      <alignment horizontal="center" vertical="center" wrapText="1"/>
    </xf>
    <xf numFmtId="0" fontId="6" fillId="0" borderId="0">
      <alignment horizontal="left" vertical="center" wrapText="1"/>
    </xf>
    <xf numFmtId="165" fontId="7" fillId="0" borderId="4" applyNumberFormat="0" applyFill="0">
      <alignment horizontal="right"/>
    </xf>
    <xf numFmtId="166" fontId="8" fillId="0" borderId="4">
      <alignment horizontal="right" vertical="center"/>
    </xf>
    <xf numFmtId="49" fontId="9" fillId="0" borderId="4">
      <alignment horizontal="left" vertical="center"/>
    </xf>
    <xf numFmtId="165" fontId="7" fillId="0" borderId="4" applyNumberFormat="0" applyFill="0">
      <alignment horizontal="right"/>
    </xf>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0" borderId="4">
      <alignment horizontal="left"/>
    </xf>
    <xf numFmtId="0" fontId="12" fillId="0" borderId="5">
      <alignment horizontal="right" vertical="center"/>
    </xf>
    <xf numFmtId="0" fontId="13" fillId="0" borderId="4">
      <alignment horizontal="left" vertical="center"/>
    </xf>
    <xf numFmtId="0" fontId="7" fillId="0" borderId="4">
      <alignment horizontal="left" vertical="center"/>
    </xf>
    <xf numFmtId="0" fontId="11" fillId="0" borderId="4">
      <alignment horizontal="left"/>
    </xf>
    <xf numFmtId="0" fontId="11" fillId="16" borderId="0">
      <alignment horizontal="centerContinuous" wrapText="1"/>
    </xf>
    <xf numFmtId="49" fontId="11" fillId="16" borderId="2">
      <alignment horizontal="left" vertical="center"/>
    </xf>
    <xf numFmtId="0" fontId="11" fillId="16" borderId="0">
      <alignment horizontal="centerContinuous" vertical="center" wrapText="1"/>
    </xf>
    <xf numFmtId="0" fontId="14" fillId="0" borderId="0"/>
    <xf numFmtId="3" fontId="8" fillId="0" borderId="0">
      <alignment horizontal="left" vertical="center"/>
    </xf>
    <xf numFmtId="0" fontId="5" fillId="0" borderId="0">
      <alignment horizontal="left" vertical="center"/>
    </xf>
    <xf numFmtId="0" fontId="15" fillId="0" borderId="0" applyNumberFormat="0" applyFill="0" applyBorder="0" applyAlignment="0" applyProtection="0"/>
    <xf numFmtId="0" fontId="16" fillId="0" borderId="0">
      <alignment horizontal="right"/>
    </xf>
    <xf numFmtId="49" fontId="16" fillId="0" borderId="0">
      <alignment horizontal="center"/>
    </xf>
    <xf numFmtId="0" fontId="9" fillId="0" borderId="0">
      <alignment horizontal="right"/>
    </xf>
    <xf numFmtId="0" fontId="16" fillId="0" borderId="0">
      <alignment horizontal="left"/>
    </xf>
    <xf numFmtId="49" fontId="8" fillId="0" borderId="0">
      <alignment horizontal="left" vertical="center"/>
    </xf>
    <xf numFmtId="49" fontId="9" fillId="0" borderId="4">
      <alignment horizontal="left"/>
    </xf>
    <xf numFmtId="165" fontId="8" fillId="0" borderId="0" applyNumberFormat="0">
      <alignment horizontal="right"/>
    </xf>
    <xf numFmtId="0" fontId="12" fillId="17" borderId="0">
      <alignment horizontal="centerContinuous" vertical="center" wrapText="1"/>
    </xf>
    <xf numFmtId="0" fontId="12" fillId="0" borderId="6">
      <alignment horizontal="left" vertical="center"/>
    </xf>
    <xf numFmtId="0" fontId="17" fillId="0" borderId="0">
      <alignment horizontal="left" vertical="top"/>
    </xf>
    <xf numFmtId="0" fontId="11" fillId="0" borderId="0">
      <alignment horizontal="left"/>
    </xf>
    <xf numFmtId="0" fontId="6" fillId="0" borderId="0">
      <alignment horizontal="left"/>
    </xf>
    <xf numFmtId="0" fontId="7" fillId="0" borderId="0">
      <alignment horizontal="left"/>
    </xf>
    <xf numFmtId="0" fontId="17" fillId="0" borderId="0">
      <alignment horizontal="left" vertical="top"/>
    </xf>
    <xf numFmtId="0" fontId="6" fillId="0" borderId="0">
      <alignment horizontal="left"/>
    </xf>
    <xf numFmtId="0" fontId="7" fillId="0" borderId="0">
      <alignment horizontal="left"/>
    </xf>
    <xf numFmtId="49" fontId="8" fillId="0" borderId="4">
      <alignment horizontal="left"/>
    </xf>
    <xf numFmtId="0" fontId="12" fillId="0" borderId="5">
      <alignment horizontal="left"/>
    </xf>
    <xf numFmtId="0" fontId="11" fillId="0" borderId="0">
      <alignment horizontal="left" vertical="center"/>
    </xf>
    <xf numFmtId="49" fontId="16" fillId="0" borderId="4">
      <alignment horizontal="left"/>
    </xf>
    <xf numFmtId="0" fontId="14" fillId="0" borderId="0"/>
    <xf numFmtId="9" fontId="14" fillId="0" borderId="0" applyFont="0" applyFill="0" applyBorder="0" applyAlignment="0" applyProtection="0"/>
    <xf numFmtId="9" fontId="14" fillId="0" borderId="0" applyFont="0" applyFill="0" applyBorder="0" applyAlignment="0" applyProtection="0"/>
    <xf numFmtId="0" fontId="19" fillId="0" borderId="0"/>
    <xf numFmtId="43"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cellStyleXfs>
  <cellXfs count="67">
    <xf numFmtId="0" fontId="0" fillId="0" borderId="0" xfId="0"/>
    <xf numFmtId="0" fontId="18" fillId="0" borderId="0" xfId="37" applyFont="1"/>
    <xf numFmtId="0" fontId="20" fillId="0" borderId="0" xfId="64" applyFont="1"/>
    <xf numFmtId="0" fontId="19" fillId="0" borderId="0" xfId="64"/>
    <xf numFmtId="0" fontId="14" fillId="0" borderId="0" xfId="37"/>
    <xf numFmtId="0" fontId="22" fillId="0" borderId="0" xfId="64" applyFont="1"/>
    <xf numFmtId="0" fontId="21" fillId="0" borderId="0" xfId="69" applyFont="1"/>
    <xf numFmtId="2" fontId="0" fillId="0" borderId="0" xfId="0" applyNumberFormat="1"/>
    <xf numFmtId="167" fontId="0" fillId="0" borderId="0" xfId="0" applyNumberFormat="1"/>
    <xf numFmtId="0" fontId="0" fillId="0" borderId="0" xfId="0" applyAlignment="1">
      <alignment wrapText="1"/>
    </xf>
    <xf numFmtId="0" fontId="0" fillId="0" borderId="0" xfId="0" applyAlignment="1">
      <alignment horizontal="center"/>
    </xf>
    <xf numFmtId="0" fontId="31" fillId="0" borderId="3" xfId="37" applyFont="1" applyBorder="1" applyAlignment="1">
      <alignment horizontal="center"/>
    </xf>
    <xf numFmtId="0" fontId="32" fillId="0" borderId="0" xfId="37" applyFont="1" applyAlignment="1">
      <alignment horizontal="center"/>
    </xf>
    <xf numFmtId="0" fontId="32" fillId="2" borderId="3" xfId="37" applyFont="1" applyFill="1" applyBorder="1" applyAlignment="1">
      <alignment horizontal="center"/>
    </xf>
    <xf numFmtId="1" fontId="27" fillId="4" borderId="3" xfId="37" applyNumberFormat="1" applyFont="1" applyFill="1" applyBorder="1" applyAlignment="1">
      <alignment horizontal="center"/>
    </xf>
    <xf numFmtId="0" fontId="33" fillId="0" borderId="7" xfId="37" applyFont="1" applyBorder="1" applyAlignment="1">
      <alignment horizontal="center"/>
    </xf>
    <xf numFmtId="0" fontId="29" fillId="0" borderId="0" xfId="64" applyFont="1"/>
    <xf numFmtId="0" fontId="2" fillId="0" borderId="3" xfId="37" applyFont="1" applyBorder="1"/>
    <xf numFmtId="0" fontId="34" fillId="0" borderId="3" xfId="37" applyFont="1" applyBorder="1" applyAlignment="1">
      <alignment vertical="center"/>
    </xf>
    <xf numFmtId="0" fontId="34" fillId="0" borderId="3" xfId="37" applyFont="1" applyBorder="1" applyAlignment="1">
      <alignment horizontal="center"/>
    </xf>
    <xf numFmtId="0" fontId="31" fillId="0" borderId="3" xfId="64" applyFont="1" applyBorder="1" applyAlignment="1">
      <alignment horizontal="center"/>
    </xf>
    <xf numFmtId="0" fontId="34" fillId="0" borderId="3" xfId="64" applyFont="1" applyBorder="1" applyAlignment="1">
      <alignment horizontal="center"/>
    </xf>
    <xf numFmtId="168" fontId="34" fillId="0" borderId="3" xfId="64" applyNumberFormat="1" applyFont="1" applyBorder="1" applyAlignment="1">
      <alignment horizontal="center"/>
    </xf>
    <xf numFmtId="0" fontId="35" fillId="0" borderId="0" xfId="0" applyFont="1"/>
    <xf numFmtId="0" fontId="35" fillId="0" borderId="3" xfId="0" applyFont="1" applyBorder="1" applyAlignment="1">
      <alignment horizontal="center"/>
    </xf>
    <xf numFmtId="0" fontId="35" fillId="0" borderId="3" xfId="0" applyFont="1" applyBorder="1"/>
    <xf numFmtId="0" fontId="30" fillId="0" borderId="2" xfId="64" applyFont="1" applyBorder="1" applyAlignment="1">
      <alignment horizontal="center" wrapText="1"/>
    </xf>
    <xf numFmtId="0" fontId="31" fillId="0" borderId="3" xfId="64" applyFont="1" applyBorder="1" applyAlignment="1">
      <alignment horizontal="center" vertical="center"/>
    </xf>
    <xf numFmtId="0" fontId="31" fillId="0" borderId="3" xfId="64" applyFont="1" applyBorder="1" applyAlignment="1">
      <alignment horizontal="center" vertical="center" wrapText="1"/>
    </xf>
    <xf numFmtId="21" fontId="19" fillId="0" borderId="3" xfId="64" applyNumberFormat="1" applyBorder="1" applyAlignment="1">
      <alignment horizontal="center"/>
    </xf>
    <xf numFmtId="21" fontId="19" fillId="0" borderId="3" xfId="64" applyNumberFormat="1" applyBorder="1"/>
    <xf numFmtId="0" fontId="19" fillId="0" borderId="3" xfId="64" applyBorder="1" applyAlignment="1">
      <alignment horizontal="center"/>
    </xf>
    <xf numFmtId="2" fontId="19" fillId="0" borderId="3" xfId="64" applyNumberFormat="1" applyBorder="1"/>
    <xf numFmtId="0" fontId="30" fillId="0" borderId="2" xfId="37" applyFont="1" applyBorder="1" applyAlignment="1">
      <alignment horizontal="center" wrapText="1"/>
    </xf>
    <xf numFmtId="0" fontId="29" fillId="0" borderId="0" xfId="37" applyFont="1" applyAlignment="1">
      <alignment horizontal="center" vertical="center" wrapText="1"/>
    </xf>
    <xf numFmtId="167" fontId="34" fillId="0" borderId="3" xfId="37" applyNumberFormat="1" applyFont="1" applyBorder="1" applyAlignment="1">
      <alignment horizontal="center"/>
    </xf>
    <xf numFmtId="168" fontId="34" fillId="0" borderId="3" xfId="37" applyNumberFormat="1" applyFont="1" applyBorder="1" applyAlignment="1">
      <alignment horizontal="center"/>
    </xf>
    <xf numFmtId="0" fontId="29" fillId="0" borderId="0" xfId="37" applyFont="1" applyAlignment="1">
      <alignment vertical="center" wrapText="1"/>
    </xf>
    <xf numFmtId="0" fontId="28" fillId="18" borderId="3" xfId="0" applyFont="1" applyFill="1" applyBorder="1" applyAlignment="1">
      <alignment horizontal="center" vertical="center"/>
    </xf>
    <xf numFmtId="0" fontId="40" fillId="18" borderId="3" xfId="0" applyFont="1" applyFill="1" applyBorder="1" applyAlignment="1">
      <alignment horizontal="center" vertical="center"/>
    </xf>
    <xf numFmtId="2" fontId="35" fillId="0" borderId="3" xfId="0" applyNumberFormat="1" applyFont="1" applyBorder="1" applyAlignment="1">
      <alignment horizontal="center"/>
    </xf>
    <xf numFmtId="167" fontId="35" fillId="0" borderId="3" xfId="0" applyNumberFormat="1" applyFont="1" applyBorder="1" applyAlignment="1">
      <alignment horizontal="center"/>
    </xf>
    <xf numFmtId="0" fontId="35" fillId="19" borderId="3" xfId="0" applyFont="1" applyFill="1" applyBorder="1"/>
    <xf numFmtId="0" fontId="28" fillId="0" borderId="3" xfId="0" applyFont="1" applyBorder="1"/>
    <xf numFmtId="0" fontId="30" fillId="0" borderId="3" xfId="69" applyFont="1" applyBorder="1"/>
    <xf numFmtId="0" fontId="32" fillId="3" borderId="3" xfId="37" applyFont="1" applyFill="1" applyBorder="1" applyAlignment="1">
      <alignment horizontal="center"/>
    </xf>
    <xf numFmtId="0" fontId="29" fillId="0" borderId="3" xfId="0" applyFont="1" applyBorder="1" applyAlignment="1">
      <alignment horizontal="center" vertical="center" wrapText="1"/>
    </xf>
    <xf numFmtId="0" fontId="28" fillId="18" borderId="3" xfId="0" applyFont="1" applyFill="1" applyBorder="1" applyAlignment="1">
      <alignment horizontal="center" vertical="center" wrapText="1"/>
    </xf>
    <xf numFmtId="21" fontId="41" fillId="0" borderId="3" xfId="64" applyNumberFormat="1" applyFont="1" applyBorder="1"/>
    <xf numFmtId="2" fontId="41" fillId="0" borderId="3" xfId="64" applyNumberFormat="1" applyFont="1" applyBorder="1"/>
    <xf numFmtId="0" fontId="32" fillId="3" borderId="3" xfId="37" applyFont="1" applyFill="1" applyBorder="1" applyAlignment="1">
      <alignment horizontal="center"/>
    </xf>
    <xf numFmtId="0" fontId="32" fillId="2" borderId="3" xfId="37" applyFont="1" applyFill="1" applyBorder="1" applyAlignment="1">
      <alignment horizontal="center" vertical="center"/>
    </xf>
    <xf numFmtId="0" fontId="30" fillId="0" borderId="0" xfId="37" applyFont="1" applyAlignment="1">
      <alignment horizontal="center"/>
    </xf>
    <xf numFmtId="0" fontId="30" fillId="0" borderId="1" xfId="64" applyFont="1" applyBorder="1" applyAlignment="1">
      <alignment horizontal="center" vertical="center" wrapText="1"/>
    </xf>
    <xf numFmtId="0" fontId="30" fillId="0" borderId="0" xfId="64" applyFont="1" applyAlignment="1">
      <alignment horizontal="center" vertical="center" wrapText="1"/>
    </xf>
    <xf numFmtId="0" fontId="30" fillId="0" borderId="2" xfId="64" applyFont="1" applyBorder="1" applyAlignment="1">
      <alignment horizontal="center" vertical="center" wrapText="1"/>
    </xf>
    <xf numFmtId="0" fontId="30" fillId="0" borderId="3" xfId="37" applyFont="1" applyBorder="1" applyAlignment="1">
      <alignment horizontal="center" wrapText="1"/>
    </xf>
    <xf numFmtId="0" fontId="29" fillId="0" borderId="3" xfId="0" applyFont="1" applyBorder="1" applyAlignment="1">
      <alignment horizontal="center" vertical="center" wrapText="1"/>
    </xf>
    <xf numFmtId="0" fontId="30" fillId="0" borderId="3" xfId="37" applyFont="1" applyBorder="1" applyAlignment="1">
      <alignment horizontal="center" vertical="center" wrapText="1"/>
    </xf>
    <xf numFmtId="0" fontId="30" fillId="0" borderId="8" xfId="37" applyFont="1" applyBorder="1" applyAlignment="1">
      <alignment horizontal="center" vertical="center" wrapText="1"/>
    </xf>
    <xf numFmtId="0" fontId="23" fillId="20" borderId="3" xfId="0" applyFont="1" applyFill="1" applyBorder="1" applyAlignment="1">
      <alignment horizontal="center" vertical="center" wrapText="1"/>
    </xf>
    <xf numFmtId="0" fontId="28" fillId="18" borderId="3" xfId="0" applyFont="1" applyFill="1" applyBorder="1" applyAlignment="1">
      <alignment horizontal="center" vertical="center" wrapText="1"/>
    </xf>
    <xf numFmtId="0" fontId="28" fillId="0" borderId="3" xfId="0" applyFont="1" applyBorder="1" applyAlignment="1">
      <alignment horizontal="center"/>
    </xf>
    <xf numFmtId="0" fontId="42" fillId="21" borderId="3" xfId="0" applyFont="1" applyFill="1" applyBorder="1" applyAlignment="1">
      <alignment horizontal="left" vertical="center" indent="6"/>
    </xf>
    <xf numFmtId="0" fontId="48" fillId="22" borderId="0" xfId="0" applyFont="1" applyFill="1" applyAlignment="1">
      <alignment horizontal="center"/>
    </xf>
    <xf numFmtId="0" fontId="48" fillId="22" borderId="2" xfId="0" applyFont="1" applyFill="1" applyBorder="1" applyAlignment="1">
      <alignment horizontal="center"/>
    </xf>
    <xf numFmtId="0" fontId="49" fillId="0" borderId="0" xfId="0" applyFont="1"/>
  </cellXfs>
  <cellStyles count="70">
    <cellStyle name="Accent1 - 20%" xfId="2" xr:uid="{00000000-0005-0000-0000-000000000000}"/>
    <cellStyle name="Accent1 - 40%" xfId="3" xr:uid="{00000000-0005-0000-0000-000001000000}"/>
    <cellStyle name="Accent1 - 60%" xfId="4" xr:uid="{00000000-0005-0000-0000-000002000000}"/>
    <cellStyle name="Accent2 - 20%" xfId="5" xr:uid="{00000000-0005-0000-0000-000003000000}"/>
    <cellStyle name="Accent2 - 40%" xfId="6" xr:uid="{00000000-0005-0000-0000-000004000000}"/>
    <cellStyle name="Accent2 - 60%" xfId="7" xr:uid="{00000000-0005-0000-0000-000005000000}"/>
    <cellStyle name="Accent3 - 20%" xfId="8" xr:uid="{00000000-0005-0000-0000-000006000000}"/>
    <cellStyle name="Accent3 - 40%" xfId="9" xr:uid="{00000000-0005-0000-0000-000007000000}"/>
    <cellStyle name="Accent3 - 60%" xfId="10" xr:uid="{00000000-0005-0000-0000-000008000000}"/>
    <cellStyle name="Accent4 - 20%" xfId="11" xr:uid="{00000000-0005-0000-0000-000009000000}"/>
    <cellStyle name="Accent4 - 40%" xfId="12" xr:uid="{00000000-0005-0000-0000-00000A000000}"/>
    <cellStyle name="Accent4 - 60%" xfId="13" xr:uid="{00000000-0005-0000-0000-00000B000000}"/>
    <cellStyle name="Accent5 - 20%" xfId="14" xr:uid="{00000000-0005-0000-0000-00000C000000}"/>
    <cellStyle name="Accent5 - 40%" xfId="15" xr:uid="{00000000-0005-0000-0000-00000D000000}"/>
    <cellStyle name="Accent5 - 60%" xfId="16" xr:uid="{00000000-0005-0000-0000-00000E000000}"/>
    <cellStyle name="Accent6 - 20%" xfId="17" xr:uid="{00000000-0005-0000-0000-00000F000000}"/>
    <cellStyle name="Accent6 - 40%" xfId="18" xr:uid="{00000000-0005-0000-0000-000010000000}"/>
    <cellStyle name="Accent6 - 60%" xfId="19" xr:uid="{00000000-0005-0000-0000-000011000000}"/>
    <cellStyle name="Column heading" xfId="20" xr:uid="{00000000-0005-0000-0000-000012000000}"/>
    <cellStyle name="Comma 2" xfId="65" xr:uid="{00000000-0005-0000-0000-000013000000}"/>
    <cellStyle name="Corner heading" xfId="21" xr:uid="{00000000-0005-0000-0000-000014000000}"/>
    <cellStyle name="Currency 2" xfId="66" xr:uid="{00000000-0005-0000-0000-000015000000}"/>
    <cellStyle name="Currency 3" xfId="67" xr:uid="{00000000-0005-0000-0000-000016000000}"/>
    <cellStyle name="Data" xfId="22" xr:uid="{00000000-0005-0000-0000-000017000000}"/>
    <cellStyle name="Data no deci" xfId="23" xr:uid="{00000000-0005-0000-0000-000018000000}"/>
    <cellStyle name="Data Superscript" xfId="24" xr:uid="{00000000-0005-0000-0000-000019000000}"/>
    <cellStyle name="Data_1-1A-Regular" xfId="25" xr:uid="{00000000-0005-0000-0000-00001A000000}"/>
    <cellStyle name="Emphasis 1" xfId="26" xr:uid="{00000000-0005-0000-0000-00001B000000}"/>
    <cellStyle name="Emphasis 2" xfId="27" xr:uid="{00000000-0005-0000-0000-00001C000000}"/>
    <cellStyle name="Emphasis 3" xfId="28" xr:uid="{00000000-0005-0000-0000-00001D000000}"/>
    <cellStyle name="Hed Side" xfId="29" xr:uid="{00000000-0005-0000-0000-00001E000000}"/>
    <cellStyle name="Hed Side bold" xfId="30" xr:uid="{00000000-0005-0000-0000-00001F000000}"/>
    <cellStyle name="Hed Side Indent" xfId="31" xr:uid="{00000000-0005-0000-0000-000020000000}"/>
    <cellStyle name="Hed Side Regular" xfId="32" xr:uid="{00000000-0005-0000-0000-000021000000}"/>
    <cellStyle name="Hed Side_1-1A-Regular" xfId="33" xr:uid="{00000000-0005-0000-0000-000022000000}"/>
    <cellStyle name="Hed Top" xfId="34" xr:uid="{00000000-0005-0000-0000-000023000000}"/>
    <cellStyle name="Hed Top - SECTION" xfId="35" xr:uid="{00000000-0005-0000-0000-000024000000}"/>
    <cellStyle name="Hed Top_3-new4" xfId="36" xr:uid="{00000000-0005-0000-0000-000025000000}"/>
    <cellStyle name="Normal" xfId="0" builtinId="0"/>
    <cellStyle name="Normal 2" xfId="37" xr:uid="{00000000-0005-0000-0000-000027000000}"/>
    <cellStyle name="Normal 2 2" xfId="61" xr:uid="{00000000-0005-0000-0000-000028000000}"/>
    <cellStyle name="Normal 2 3" xfId="68" xr:uid="{00000000-0005-0000-0000-000029000000}"/>
    <cellStyle name="Normal 3" xfId="1" xr:uid="{00000000-0005-0000-0000-00002A000000}"/>
    <cellStyle name="Normal 4" xfId="64" xr:uid="{00000000-0005-0000-0000-00002B000000}"/>
    <cellStyle name="Normal 4 2" xfId="69" xr:uid="{00000000-0005-0000-0000-00002C000000}"/>
    <cellStyle name="Percent 2" xfId="62" xr:uid="{00000000-0005-0000-0000-00002D000000}"/>
    <cellStyle name="Percent 3" xfId="63" xr:uid="{00000000-0005-0000-0000-00002E000000}"/>
    <cellStyle name="Reference" xfId="38" xr:uid="{00000000-0005-0000-0000-00002F000000}"/>
    <cellStyle name="Row heading" xfId="39" xr:uid="{00000000-0005-0000-0000-000030000000}"/>
    <cellStyle name="Sheet Title" xfId="40" xr:uid="{00000000-0005-0000-0000-000031000000}"/>
    <cellStyle name="Source Hed" xfId="41" xr:uid="{00000000-0005-0000-0000-000032000000}"/>
    <cellStyle name="Source Letter" xfId="42" xr:uid="{00000000-0005-0000-0000-000033000000}"/>
    <cellStyle name="Source Superscript" xfId="43" xr:uid="{00000000-0005-0000-0000-000034000000}"/>
    <cellStyle name="Source Text" xfId="44" xr:uid="{00000000-0005-0000-0000-000035000000}"/>
    <cellStyle name="State" xfId="45" xr:uid="{00000000-0005-0000-0000-000036000000}"/>
    <cellStyle name="Superscript" xfId="46" xr:uid="{00000000-0005-0000-0000-000037000000}"/>
    <cellStyle name="Table Data" xfId="47" xr:uid="{00000000-0005-0000-0000-000038000000}"/>
    <cellStyle name="Table Head Top" xfId="48" xr:uid="{00000000-0005-0000-0000-000039000000}"/>
    <cellStyle name="Table Hed Side" xfId="49" xr:uid="{00000000-0005-0000-0000-00003A000000}"/>
    <cellStyle name="Table Title" xfId="50" xr:uid="{00000000-0005-0000-0000-00003B000000}"/>
    <cellStyle name="Title Text" xfId="51" xr:uid="{00000000-0005-0000-0000-00003C000000}"/>
    <cellStyle name="Title Text 1" xfId="52" xr:uid="{00000000-0005-0000-0000-00003D000000}"/>
    <cellStyle name="Title Text 2" xfId="53" xr:uid="{00000000-0005-0000-0000-00003E000000}"/>
    <cellStyle name="Title-1" xfId="54" xr:uid="{00000000-0005-0000-0000-00003F000000}"/>
    <cellStyle name="Title-2" xfId="55" xr:uid="{00000000-0005-0000-0000-000040000000}"/>
    <cellStyle name="Title-3" xfId="56" xr:uid="{00000000-0005-0000-0000-000041000000}"/>
    <cellStyle name="Wrap" xfId="57" xr:uid="{00000000-0005-0000-0000-000042000000}"/>
    <cellStyle name="Wrap Bold" xfId="58" xr:uid="{00000000-0005-0000-0000-000043000000}"/>
    <cellStyle name="Wrap Title" xfId="59" xr:uid="{00000000-0005-0000-0000-000044000000}"/>
    <cellStyle name="Wrap_NTS99-~11" xfId="60" xr:uid="{00000000-0005-0000-0000-00004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352779</xdr:colOff>
      <xdr:row>18</xdr:row>
      <xdr:rowOff>109359</xdr:rowOff>
    </xdr:from>
    <xdr:ext cx="4035777" cy="7655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733779" y="3623026"/>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n-IE" sz="1600" b="0" i="1">
                        <a:latin typeface="Cambria Math"/>
                      </a:rPr>
                      <m:t>𝑛</m:t>
                    </m:r>
                    <m:r>
                      <a:rPr lang="en-IE" sz="1600" b="0" i="1">
                        <a:latin typeface="Cambria Math"/>
                      </a:rPr>
                      <m:t>=</m:t>
                    </m:r>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1.96</m:t>
                                </m:r>
                              </m:num>
                              <m:den>
                                <m:r>
                                  <a:rPr lang="en-IE" sz="1600" b="0" i="1">
                                    <a:latin typeface="Cambria Math"/>
                                  </a:rPr>
                                  <m:t>𝑚𝑎𝑟𝑔𝑖𝑛</m:t>
                                </m:r>
                                <m:r>
                                  <a:rPr lang="en-IE" sz="1600" b="0" i="1">
                                    <a:latin typeface="Cambria Math"/>
                                  </a:rPr>
                                  <m:t>/</m:t>
                                </m:r>
                                <m:r>
                                  <a:rPr lang="en-IE" sz="1600" b="0" i="1">
                                    <a:latin typeface="Cambria Math"/>
                                  </a:rPr>
                                  <m:t>𝑚𝑒𝑎𝑛</m:t>
                                </m:r>
                              </m:den>
                            </m:f>
                          </m:e>
                        </m:d>
                      </m:e>
                      <m:sup>
                        <m:r>
                          <a:rPr lang="en-IE" sz="1600" b="0" i="1">
                            <a:latin typeface="Cambria Math"/>
                          </a:rPr>
                          <m:t>2</m:t>
                        </m:r>
                      </m:sup>
                    </m:sSup>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𝑆𝐷</m:t>
                                </m:r>
                              </m:num>
                              <m:den>
                                <m:r>
                                  <a:rPr lang="en-IE" sz="1600" b="0" i="1">
                                    <a:latin typeface="Cambria Math"/>
                                  </a:rPr>
                                  <m:t>𝑚𝑒𝑎𝑛</m:t>
                                </m:r>
                              </m:den>
                            </m:f>
                          </m:e>
                        </m:d>
                      </m:e>
                      <m:sup>
                        <m:r>
                          <a:rPr lang="en-IE" sz="1600" b="0" i="1">
                            <a:latin typeface="Cambria Math"/>
                          </a:rPr>
                          <m:t>2</m:t>
                        </m:r>
                      </m:sup>
                    </m:sSup>
                  </m:oMath>
                </m:oMathPara>
              </a14:m>
              <a:endParaRPr lang="en-IE" sz="1600"/>
            </a:p>
          </xdr:txBody>
        </xdr:sp>
      </mc:Choice>
      <mc:Fallback xmlns="">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733779" y="3623026"/>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n-IE" sz="1600" b="0" i="0">
                  <a:latin typeface="Cambria Math"/>
                </a:rPr>
                <a:t>𝑛=</a:t>
              </a:r>
              <a:r>
                <a:rPr lang="en-IE" sz="1600" b="0" i="0">
                  <a:latin typeface="Cambria Math" panose="02040503050406030204" pitchFamily="18" charset="0"/>
                </a:rPr>
                <a:t>(</a:t>
              </a:r>
              <a:r>
                <a:rPr lang="en-IE" sz="1600" b="0" i="0">
                  <a:latin typeface="Cambria Math"/>
                </a:rPr>
                <a:t>1.96</a:t>
              </a:r>
              <a:r>
                <a:rPr lang="en-IE" sz="1600" b="0" i="0">
                  <a:latin typeface="Cambria Math" panose="02040503050406030204" pitchFamily="18" charset="0"/>
                </a:rPr>
                <a:t>/(</a:t>
              </a:r>
              <a:r>
                <a:rPr lang="en-IE" sz="1600" b="0" i="0">
                  <a:latin typeface="Cambria Math"/>
                </a:rPr>
                <a:t>𝑚𝑎𝑟𝑔𝑖𝑛/𝑚𝑒𝑎𝑛</a:t>
              </a:r>
              <a:r>
                <a:rPr lang="en-IE" sz="1600" b="0" i="0">
                  <a:latin typeface="Cambria Math" panose="02040503050406030204" pitchFamily="18" charset="0"/>
                </a:rPr>
                <a:t>))^</a:t>
              </a:r>
              <a:r>
                <a:rPr lang="en-IE" sz="1600" b="0" i="0">
                  <a:latin typeface="Cambria Math"/>
                </a:rPr>
                <a:t>2</a:t>
              </a:r>
              <a:r>
                <a:rPr lang="en-IE" sz="1600" b="0" i="0">
                  <a:latin typeface="Cambria Math" panose="02040503050406030204" pitchFamily="18" charset="0"/>
                </a:rPr>
                <a:t> (</a:t>
              </a:r>
              <a:r>
                <a:rPr lang="en-IE" sz="1600" b="0" i="0">
                  <a:latin typeface="Cambria Math"/>
                </a:rPr>
                <a:t>𝑆𝐷</a:t>
              </a:r>
              <a:r>
                <a:rPr lang="en-IE" sz="1600" b="0" i="0">
                  <a:latin typeface="Cambria Math" panose="02040503050406030204" pitchFamily="18" charset="0"/>
                </a:rPr>
                <a:t>/</a:t>
              </a:r>
              <a:r>
                <a:rPr lang="en-IE" sz="1600" b="0" i="0">
                  <a:latin typeface="Cambria Math"/>
                </a:rPr>
                <a:t>𝑚𝑒𝑎𝑛</a:t>
              </a:r>
              <a:r>
                <a:rPr lang="en-IE" sz="1600" b="0" i="0">
                  <a:latin typeface="Cambria Math" panose="02040503050406030204" pitchFamily="18" charset="0"/>
                </a:rPr>
                <a:t>)^</a:t>
              </a:r>
              <a:r>
                <a:rPr lang="en-IE" sz="1600" b="0" i="0">
                  <a:latin typeface="Cambria Math"/>
                </a:rPr>
                <a:t>2</a:t>
              </a:r>
              <a:endParaRPr lang="en-IE" sz="1600"/>
            </a:p>
          </xdr:txBody>
        </xdr:sp>
      </mc:Fallback>
    </mc:AlternateContent>
    <xdr:clientData/>
  </xdr:oneCellAnchor>
  <xdr:oneCellAnchor>
    <xdr:from>
      <xdr:col>9</xdr:col>
      <xdr:colOff>462845</xdr:colOff>
      <xdr:row>18</xdr:row>
      <xdr:rowOff>106537</xdr:rowOff>
    </xdr:from>
    <xdr:ext cx="4035777" cy="76552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0DFD002-0AAD-094A-9814-0E261A427BFD}"/>
                </a:ext>
              </a:extLst>
            </xdr:cNvPr>
            <xdr:cNvSpPr txBox="1"/>
          </xdr:nvSpPr>
          <xdr:spPr>
            <a:xfrm>
              <a:off x="6248401" y="3620204"/>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n-IE" sz="1600" b="0" i="1">
                        <a:latin typeface="Cambria Math"/>
                      </a:rPr>
                      <m:t>𝑛</m:t>
                    </m:r>
                    <m:r>
                      <a:rPr lang="en-IE" sz="1600" b="0" i="1">
                        <a:latin typeface="Cambria Math"/>
                      </a:rPr>
                      <m:t>=</m:t>
                    </m:r>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1.</m:t>
                                </m:r>
                                <m:r>
                                  <a:rPr lang="en-IE" sz="1600" b="0" i="1">
                                    <a:latin typeface="Cambria Math" panose="02040503050406030204" pitchFamily="18" charset="0"/>
                                  </a:rPr>
                                  <m:t>65</m:t>
                                </m:r>
                              </m:num>
                              <m:den>
                                <m:r>
                                  <a:rPr lang="en-IE" sz="1600" b="0" i="1">
                                    <a:latin typeface="Cambria Math"/>
                                  </a:rPr>
                                  <m:t>𝑚𝑎𝑟𝑔𝑖𝑛</m:t>
                                </m:r>
                                <m:r>
                                  <a:rPr lang="en-IE" sz="1600" b="0" i="1">
                                    <a:latin typeface="Cambria Math"/>
                                  </a:rPr>
                                  <m:t>/</m:t>
                                </m:r>
                                <m:r>
                                  <a:rPr lang="en-IE" sz="1600" b="0" i="1">
                                    <a:latin typeface="Cambria Math"/>
                                  </a:rPr>
                                  <m:t>𝑚𝑒𝑎𝑛</m:t>
                                </m:r>
                              </m:den>
                            </m:f>
                          </m:e>
                        </m:d>
                      </m:e>
                      <m:sup>
                        <m:r>
                          <a:rPr lang="en-IE" sz="1600" b="0" i="1">
                            <a:latin typeface="Cambria Math"/>
                          </a:rPr>
                          <m:t>2</m:t>
                        </m:r>
                      </m:sup>
                    </m:sSup>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𝑆𝐷</m:t>
                                </m:r>
                              </m:num>
                              <m:den>
                                <m:r>
                                  <a:rPr lang="en-IE" sz="1600" b="0" i="1">
                                    <a:latin typeface="Cambria Math"/>
                                  </a:rPr>
                                  <m:t>𝑚𝑒𝑎𝑛</m:t>
                                </m:r>
                              </m:den>
                            </m:f>
                          </m:e>
                        </m:d>
                      </m:e>
                      <m:sup>
                        <m:r>
                          <a:rPr lang="en-IE" sz="1600" b="0" i="1">
                            <a:latin typeface="Cambria Math"/>
                          </a:rPr>
                          <m:t>2</m:t>
                        </m:r>
                      </m:sup>
                    </m:sSup>
                  </m:oMath>
                </m:oMathPara>
              </a14:m>
              <a:endParaRPr lang="en-IE" sz="1600"/>
            </a:p>
          </xdr:txBody>
        </xdr:sp>
      </mc:Choice>
      <mc:Fallback xmlns="">
        <xdr:sp macro="" textlink="">
          <xdr:nvSpPr>
            <xdr:cNvPr id="3" name="TextBox 2">
              <a:extLst>
                <a:ext uri="{FF2B5EF4-FFF2-40B4-BE49-F238E27FC236}">
                  <a16:creationId xmlns:a16="http://schemas.microsoft.com/office/drawing/2014/main" id="{60DFD002-0AAD-094A-9814-0E261A427BFD}"/>
                </a:ext>
              </a:extLst>
            </xdr:cNvPr>
            <xdr:cNvSpPr txBox="1"/>
          </xdr:nvSpPr>
          <xdr:spPr>
            <a:xfrm>
              <a:off x="6248401" y="3620204"/>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n-IE" sz="1600" b="0" i="0">
                  <a:latin typeface="Cambria Math"/>
                </a:rPr>
                <a:t>𝑛=</a:t>
              </a:r>
              <a:r>
                <a:rPr lang="en-IE" sz="1600" b="0" i="0">
                  <a:latin typeface="Cambria Math" panose="02040503050406030204" pitchFamily="18" charset="0"/>
                </a:rPr>
                <a:t>(</a:t>
              </a:r>
              <a:r>
                <a:rPr lang="en-IE" sz="1600" b="0" i="0">
                  <a:latin typeface="Cambria Math"/>
                </a:rPr>
                <a:t>1.</a:t>
              </a:r>
              <a:r>
                <a:rPr lang="en-IE" sz="1600" b="0" i="0">
                  <a:latin typeface="Cambria Math" panose="02040503050406030204" pitchFamily="18" charset="0"/>
                </a:rPr>
                <a:t>65/(</a:t>
              </a:r>
              <a:r>
                <a:rPr lang="en-IE" sz="1600" b="0" i="0">
                  <a:latin typeface="Cambria Math"/>
                </a:rPr>
                <a:t>𝑚𝑎𝑟𝑔𝑖𝑛/𝑚𝑒𝑎𝑛</a:t>
              </a:r>
              <a:r>
                <a:rPr lang="en-IE" sz="1600" b="0" i="0">
                  <a:latin typeface="Cambria Math" panose="02040503050406030204" pitchFamily="18" charset="0"/>
                </a:rPr>
                <a:t>))^</a:t>
              </a:r>
              <a:r>
                <a:rPr lang="en-IE" sz="1600" b="0" i="0">
                  <a:latin typeface="Cambria Math"/>
                </a:rPr>
                <a:t>2</a:t>
              </a:r>
              <a:r>
                <a:rPr lang="en-IE" sz="1600" b="0" i="0">
                  <a:latin typeface="Cambria Math" panose="02040503050406030204" pitchFamily="18" charset="0"/>
                </a:rPr>
                <a:t> (</a:t>
              </a:r>
              <a:r>
                <a:rPr lang="en-IE" sz="1600" b="0" i="0">
                  <a:latin typeface="Cambria Math"/>
                </a:rPr>
                <a:t>𝑆𝐷</a:t>
              </a:r>
              <a:r>
                <a:rPr lang="en-IE" sz="1600" b="0" i="0">
                  <a:latin typeface="Cambria Math" panose="02040503050406030204" pitchFamily="18" charset="0"/>
                </a:rPr>
                <a:t>/</a:t>
              </a:r>
              <a:r>
                <a:rPr lang="en-IE" sz="1600" b="0" i="0">
                  <a:latin typeface="Cambria Math"/>
                </a:rPr>
                <a:t>𝑚𝑒𝑎𝑛</a:t>
              </a:r>
              <a:r>
                <a:rPr lang="en-IE" sz="1600" b="0" i="0">
                  <a:latin typeface="Cambria Math" panose="02040503050406030204" pitchFamily="18" charset="0"/>
                </a:rPr>
                <a:t>)^</a:t>
              </a:r>
              <a:r>
                <a:rPr lang="en-IE" sz="1600" b="0" i="0">
                  <a:latin typeface="Cambria Math"/>
                </a:rPr>
                <a:t>2</a:t>
              </a:r>
              <a:endParaRPr lang="en-IE" sz="16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56445</xdr:colOff>
      <xdr:row>1</xdr:row>
      <xdr:rowOff>112889</xdr:rowOff>
    </xdr:from>
    <xdr:to>
      <xdr:col>12</xdr:col>
      <xdr:colOff>441678</xdr:colOff>
      <xdr:row>14</xdr:row>
      <xdr:rowOff>122767</xdr:rowOff>
    </xdr:to>
    <xdr:pic>
      <xdr:nvPicPr>
        <xdr:cNvPr id="3" name="Picture 2">
          <a:extLst>
            <a:ext uri="{FF2B5EF4-FFF2-40B4-BE49-F238E27FC236}">
              <a16:creationId xmlns:a16="http://schemas.microsoft.com/office/drawing/2014/main" id="{CA0EF42B-26B7-380A-60F9-6C60070C853B}"/>
            </a:ext>
          </a:extLst>
        </xdr:cNvPr>
        <xdr:cNvPicPr>
          <a:picLocks noChangeAspect="1"/>
        </xdr:cNvPicPr>
      </xdr:nvPicPr>
      <xdr:blipFill>
        <a:blip xmlns:r="http://schemas.openxmlformats.org/officeDocument/2006/relationships" r:embed="rId1"/>
        <a:stretch>
          <a:fillRect/>
        </a:stretch>
      </xdr:blipFill>
      <xdr:spPr>
        <a:xfrm>
          <a:off x="7450667" y="310445"/>
          <a:ext cx="3771900" cy="2578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56444</xdr:colOff>
      <xdr:row>3</xdr:row>
      <xdr:rowOff>112889</xdr:rowOff>
    </xdr:from>
    <xdr:to>
      <xdr:col>12</xdr:col>
      <xdr:colOff>649111</xdr:colOff>
      <xdr:row>23</xdr:row>
      <xdr:rowOff>152058</xdr:rowOff>
    </xdr:to>
    <xdr:pic>
      <xdr:nvPicPr>
        <xdr:cNvPr id="2" name="Picture 1">
          <a:extLst>
            <a:ext uri="{FF2B5EF4-FFF2-40B4-BE49-F238E27FC236}">
              <a16:creationId xmlns:a16="http://schemas.microsoft.com/office/drawing/2014/main" id="{0820ED6F-4707-FE26-84A8-7EA1AFCCB39B}"/>
            </a:ext>
          </a:extLst>
        </xdr:cNvPr>
        <xdr:cNvPicPr>
          <a:picLocks noChangeAspect="1"/>
        </xdr:cNvPicPr>
      </xdr:nvPicPr>
      <xdr:blipFill>
        <a:blip xmlns:r="http://schemas.openxmlformats.org/officeDocument/2006/relationships" r:embed="rId1"/>
        <a:stretch>
          <a:fillRect/>
        </a:stretch>
      </xdr:blipFill>
      <xdr:spPr>
        <a:xfrm>
          <a:off x="7535333" y="578556"/>
          <a:ext cx="3302000" cy="39902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28</xdr:row>
      <xdr:rowOff>180974</xdr:rowOff>
    </xdr:from>
    <xdr:to>
      <xdr:col>9</xdr:col>
      <xdr:colOff>762000</xdr:colOff>
      <xdr:row>39</xdr:row>
      <xdr:rowOff>19050</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0" y="6286499"/>
          <a:ext cx="6172200" cy="1933576"/>
        </a:xfrm>
        <a:prstGeom prst="rect">
          <a:avLst/>
        </a:prstGeom>
        <a:solidFill>
          <a:srgbClr val="FFC0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E" sz="1100">
              <a:solidFill>
                <a:schemeClr val="dk1"/>
              </a:solidFill>
              <a:effectLst/>
              <a:latin typeface="+mn-lt"/>
              <a:ea typeface="+mn-ea"/>
              <a:cs typeface="+mn-cs"/>
            </a:rPr>
            <a:t>Titrations are often recorded on graphs called titration curves, which generally contain the volume of the titrant as the independent variable and the pH of the solution as the dependent variable (because it changes depending on the composition of the two solutions).</a:t>
          </a:r>
          <a:r>
            <a:rPr lang="en-IE" sz="1100" baseline="0">
              <a:solidFill>
                <a:schemeClr val="dk1"/>
              </a:solidFill>
              <a:effectLst/>
              <a:latin typeface="+mn-lt"/>
              <a:ea typeface="+mn-ea"/>
              <a:cs typeface="+mn-cs"/>
            </a:rPr>
            <a:t> </a:t>
          </a:r>
          <a:r>
            <a:rPr lang="en-IE" sz="1100">
              <a:solidFill>
                <a:schemeClr val="dk1"/>
              </a:solidFill>
              <a:effectLst/>
              <a:latin typeface="+mn-lt"/>
              <a:ea typeface="+mn-ea"/>
              <a:cs typeface="+mn-cs"/>
            </a:rPr>
            <a:t>The </a:t>
          </a:r>
          <a:r>
            <a:rPr lang="en-IE" sz="1100" b="1">
              <a:solidFill>
                <a:schemeClr val="dk1"/>
              </a:solidFill>
              <a:effectLst/>
              <a:latin typeface="+mn-lt"/>
              <a:ea typeface="+mn-ea"/>
              <a:cs typeface="+mn-cs"/>
            </a:rPr>
            <a:t>equivalence point </a:t>
          </a:r>
          <a:r>
            <a:rPr lang="en-IE" sz="1100">
              <a:solidFill>
                <a:schemeClr val="dk1"/>
              </a:solidFill>
              <a:effectLst/>
              <a:latin typeface="+mn-lt"/>
              <a:ea typeface="+mn-ea"/>
              <a:cs typeface="+mn-cs"/>
            </a:rPr>
            <a:t>on the graph is where all of the starting solution (usually an acid) has been neutralised by the titrant (usually a base). It can be calculated precisely by finding the derivative  of the titration curve and computing the points of inflection.</a:t>
          </a:r>
          <a:endParaRPr lang="en-IE">
            <a:effectLst/>
          </a:endParaRPr>
        </a:p>
        <a:p>
          <a:pPr algn="l"/>
          <a:endParaRPr lang="en-IE" sz="1100" b="1"/>
        </a:p>
        <a:p>
          <a:pPr algn="l"/>
          <a:r>
            <a:rPr lang="en-IE" sz="1100" b="1"/>
            <a:t>Note: </a:t>
          </a:r>
          <a:r>
            <a:rPr lang="en-IE" sz="1100"/>
            <a:t>When </a:t>
          </a:r>
          <a:r>
            <a:rPr lang="el-GR" sz="1100" b="1"/>
            <a:t>Δ</a:t>
          </a:r>
          <a:r>
            <a:rPr lang="en-IE" sz="1100" b="1"/>
            <a:t>pH/</a:t>
          </a:r>
          <a:r>
            <a:rPr lang="el-GR" sz="1100" b="1"/>
            <a:t>Δ</a:t>
          </a:r>
          <a:r>
            <a:rPr lang="en-IE" sz="1100" b="1"/>
            <a:t>V </a:t>
          </a:r>
          <a:r>
            <a:rPr lang="en-IE" sz="1100"/>
            <a:t>is at its maximum value (the highest point on the graph), it represents the inflection point of the titration. Note the equivalence point found on the Acid-Base Titration</a:t>
          </a:r>
          <a:r>
            <a:rPr lang="en-IE" sz="1100" baseline="0"/>
            <a:t> </a:t>
          </a:r>
          <a:r>
            <a:rPr lang="en-IE" sz="1100"/>
            <a:t>(pH Titration Curve)</a:t>
          </a:r>
          <a:r>
            <a:rPr lang="en-IE" sz="1100" baseline="0"/>
            <a:t> </a:t>
          </a:r>
          <a:r>
            <a:rPr lang="en-IE" sz="1100"/>
            <a:t>is in agreement</a:t>
          </a:r>
          <a:r>
            <a:rPr lang="en-IE" sz="1100" baseline="0"/>
            <a:t> with the volume at the maximum value on the 1st Derivative Plot (</a:t>
          </a:r>
          <a:r>
            <a:rPr lang="el-GR" sz="1100">
              <a:solidFill>
                <a:schemeClr val="dk1"/>
              </a:solidFill>
              <a:effectLst/>
              <a:latin typeface="+mn-lt"/>
              <a:ea typeface="+mn-ea"/>
              <a:cs typeface="+mn-cs"/>
            </a:rPr>
            <a:t>Δ</a:t>
          </a:r>
          <a:r>
            <a:rPr lang="en-IE" sz="1100">
              <a:solidFill>
                <a:schemeClr val="dk1"/>
              </a:solidFill>
              <a:effectLst/>
              <a:latin typeface="+mn-lt"/>
              <a:ea typeface="+mn-ea"/>
              <a:cs typeface="+mn-cs"/>
            </a:rPr>
            <a:t>pH/</a:t>
          </a:r>
          <a:r>
            <a:rPr lang="el-GR" sz="1100">
              <a:solidFill>
                <a:schemeClr val="dk1"/>
              </a:solidFill>
              <a:effectLst/>
              <a:latin typeface="+mn-lt"/>
              <a:ea typeface="+mn-ea"/>
              <a:cs typeface="+mn-cs"/>
            </a:rPr>
            <a:t>Δ</a:t>
          </a:r>
          <a:r>
            <a:rPr lang="en-IE" sz="1100">
              <a:solidFill>
                <a:schemeClr val="dk1"/>
              </a:solidFill>
              <a:effectLst/>
              <a:latin typeface="+mn-lt"/>
              <a:ea typeface="+mn-ea"/>
              <a:cs typeface="+mn-cs"/>
            </a:rPr>
            <a:t>V  vs</a:t>
          </a:r>
          <a:r>
            <a:rPr lang="en-IE" sz="1100" baseline="0">
              <a:solidFill>
                <a:schemeClr val="dk1"/>
              </a:solidFill>
              <a:effectLst/>
              <a:latin typeface="+mn-lt"/>
              <a:ea typeface="+mn-ea"/>
              <a:cs typeface="+mn-cs"/>
            </a:rPr>
            <a:t> V</a:t>
          </a:r>
          <a:r>
            <a:rPr lang="en-IE" sz="1100" baseline="-25000">
              <a:solidFill>
                <a:schemeClr val="dk1"/>
              </a:solidFill>
              <a:effectLst/>
              <a:latin typeface="+mn-lt"/>
              <a:ea typeface="+mn-ea"/>
              <a:cs typeface="+mn-cs"/>
            </a:rPr>
            <a:t>B</a:t>
          </a:r>
          <a:r>
            <a:rPr lang="en-IE" sz="1100" baseline="0">
              <a:solidFill>
                <a:schemeClr val="dk1"/>
              </a:solidFill>
              <a:effectLst/>
              <a:latin typeface="+mn-lt"/>
              <a:ea typeface="+mn-ea"/>
              <a:cs typeface="+mn-cs"/>
            </a:rPr>
            <a:t>)</a:t>
          </a:r>
          <a:r>
            <a:rPr lang="en-IE" sz="1100" baseline="0"/>
            <a:t>.</a:t>
          </a:r>
          <a:endParaRPr lang="en-IE" sz="1100" baseline="30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renda/Desktop/ICTForScientists2018/Scientists_Stuff!!!!!/C:/Users/Kathleen/AppData/Local/Temp/Temp1_ScienceBookFiles.zip/3-PlottingGraphs/Part3-BeginExerc/B-ExercPart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pol3"/>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6"/>
  <sheetViews>
    <sheetView zoomScale="90" zoomScaleNormal="90" zoomScalePageLayoutView="90" workbookViewId="0">
      <selection activeCell="M29" sqref="M29"/>
    </sheetView>
  </sheetViews>
  <sheetFormatPr baseColWidth="10" defaultColWidth="11.5" defaultRowHeight="13"/>
  <cols>
    <col min="1" max="1" width="5" style="1" customWidth="1"/>
    <col min="2" max="2" width="10.33203125" style="1" bestFit="1" customWidth="1"/>
    <col min="3" max="3" width="6.6640625" style="1" customWidth="1"/>
    <col min="4" max="8" width="9.5" style="1" customWidth="1"/>
    <col min="9" max="9" width="6.6640625" style="1" customWidth="1"/>
    <col min="10" max="10" width="11.5" style="1" customWidth="1"/>
    <col min="11" max="11" width="8.5" style="1" customWidth="1"/>
    <col min="12" max="16" width="9.33203125" style="1" customWidth="1"/>
    <col min="17" max="16384" width="11.5" style="1"/>
  </cols>
  <sheetData>
    <row r="1" spans="1:16" ht="18">
      <c r="A1" s="52" t="s">
        <v>0</v>
      </c>
      <c r="B1" s="52"/>
      <c r="C1" s="52"/>
      <c r="D1" s="52"/>
      <c r="E1" s="52"/>
      <c r="F1" s="52"/>
      <c r="G1" s="52"/>
      <c r="H1" s="52"/>
      <c r="I1" s="52"/>
      <c r="J1" s="52"/>
      <c r="K1" s="52"/>
      <c r="L1" s="52"/>
      <c r="M1" s="52"/>
      <c r="N1" s="52"/>
      <c r="O1" s="52"/>
      <c r="P1" s="52"/>
    </row>
    <row r="2" spans="1:16" ht="14" thickBot="1"/>
    <row r="3" spans="1:16" ht="16" customHeight="1" thickBot="1">
      <c r="B3" s="15">
        <v>1.96</v>
      </c>
      <c r="C3" s="12"/>
      <c r="D3" s="50" t="s">
        <v>1</v>
      </c>
      <c r="E3" s="50"/>
      <c r="F3" s="50"/>
      <c r="G3" s="50"/>
      <c r="H3" s="50"/>
      <c r="I3" s="12"/>
      <c r="J3" s="15">
        <v>1.65</v>
      </c>
      <c r="K3" s="12"/>
      <c r="L3" s="50" t="s">
        <v>1</v>
      </c>
      <c r="M3" s="50"/>
      <c r="N3" s="50"/>
      <c r="O3" s="50"/>
      <c r="P3" s="50"/>
    </row>
    <row r="4" spans="1:16" ht="16" customHeight="1">
      <c r="B4" s="12"/>
      <c r="C4" s="12"/>
      <c r="D4" s="45">
        <v>0.01</v>
      </c>
      <c r="E4" s="45">
        <v>0.02</v>
      </c>
      <c r="F4" s="45">
        <v>0.05</v>
      </c>
      <c r="G4" s="45">
        <v>0.1</v>
      </c>
      <c r="H4" s="45">
        <v>0.25</v>
      </c>
      <c r="I4" s="12"/>
      <c r="J4" s="12"/>
      <c r="K4" s="12"/>
      <c r="L4" s="45">
        <v>0.01</v>
      </c>
      <c r="M4" s="45">
        <v>0.02</v>
      </c>
      <c r="N4" s="45">
        <v>0.05</v>
      </c>
      <c r="O4" s="45">
        <v>0.1</v>
      </c>
      <c r="P4" s="45">
        <v>0.25</v>
      </c>
    </row>
    <row r="5" spans="1:16" ht="16" customHeight="1">
      <c r="B5" s="51" t="s">
        <v>2</v>
      </c>
      <c r="C5" s="13">
        <v>0.1</v>
      </c>
      <c r="D5" s="14"/>
      <c r="E5" s="14"/>
      <c r="F5" s="14"/>
      <c r="G5" s="14"/>
      <c r="H5" s="14"/>
      <c r="I5" s="12"/>
      <c r="J5" s="51" t="s">
        <v>2</v>
      </c>
      <c r="K5" s="13">
        <v>0.1</v>
      </c>
      <c r="L5" s="14"/>
      <c r="M5" s="14"/>
      <c r="N5" s="14"/>
      <c r="O5" s="14"/>
      <c r="P5" s="14"/>
    </row>
    <row r="6" spans="1:16" ht="16" customHeight="1">
      <c r="B6" s="51"/>
      <c r="C6" s="13">
        <v>0.2</v>
      </c>
      <c r="D6" s="14"/>
      <c r="E6" s="14"/>
      <c r="F6" s="14"/>
      <c r="G6" s="14"/>
      <c r="H6" s="14"/>
      <c r="I6" s="12"/>
      <c r="J6" s="51"/>
      <c r="K6" s="13">
        <v>0.2</v>
      </c>
      <c r="L6" s="14"/>
      <c r="M6" s="14"/>
      <c r="N6" s="14"/>
      <c r="O6" s="14"/>
      <c r="P6" s="14"/>
    </row>
    <row r="7" spans="1:16" ht="16" customHeight="1">
      <c r="B7" s="51"/>
      <c r="C7" s="13">
        <v>0.3</v>
      </c>
      <c r="D7" s="14"/>
      <c r="E7" s="14"/>
      <c r="F7" s="14"/>
      <c r="G7" s="14"/>
      <c r="H7" s="14"/>
      <c r="I7" s="12"/>
      <c r="J7" s="51"/>
      <c r="K7" s="13">
        <v>0.3</v>
      </c>
      <c r="L7" s="14"/>
      <c r="M7" s="14"/>
      <c r="N7" s="14"/>
      <c r="O7" s="14"/>
      <c r="P7" s="14"/>
    </row>
    <row r="8" spans="1:16" ht="16" customHeight="1">
      <c r="B8" s="51"/>
      <c r="C8" s="13">
        <v>0.4</v>
      </c>
      <c r="D8" s="14"/>
      <c r="E8" s="14"/>
      <c r="F8" s="14"/>
      <c r="G8" s="14"/>
      <c r="H8" s="14"/>
      <c r="I8" s="12"/>
      <c r="J8" s="51"/>
      <c r="K8" s="13">
        <v>0.4</v>
      </c>
      <c r="L8" s="14"/>
      <c r="M8" s="14"/>
      <c r="N8" s="14"/>
      <c r="O8" s="14"/>
      <c r="P8" s="14"/>
    </row>
    <row r="9" spans="1:16" ht="16" customHeight="1">
      <c r="B9" s="51"/>
      <c r="C9" s="13">
        <v>0.5</v>
      </c>
      <c r="D9" s="14"/>
      <c r="E9" s="14"/>
      <c r="F9" s="14"/>
      <c r="G9" s="14"/>
      <c r="H9" s="14"/>
      <c r="I9" s="12"/>
      <c r="J9" s="51"/>
      <c r="K9" s="13">
        <v>0.5</v>
      </c>
      <c r="L9" s="14"/>
      <c r="M9" s="14"/>
      <c r="N9" s="14"/>
      <c r="O9" s="14"/>
      <c r="P9" s="14"/>
    </row>
    <row r="10" spans="1:16" ht="16" customHeight="1">
      <c r="B10" s="51"/>
      <c r="C10" s="13">
        <v>0.6</v>
      </c>
      <c r="D10" s="14"/>
      <c r="E10" s="14"/>
      <c r="F10" s="14"/>
      <c r="G10" s="14"/>
      <c r="H10" s="14"/>
      <c r="I10" s="12"/>
      <c r="J10" s="51"/>
      <c r="K10" s="13">
        <v>0.6</v>
      </c>
      <c r="L10" s="14"/>
      <c r="M10" s="14"/>
      <c r="N10" s="14"/>
      <c r="O10" s="14"/>
      <c r="P10" s="14"/>
    </row>
    <row r="11" spans="1:16" ht="16" customHeight="1">
      <c r="B11" s="51"/>
      <c r="C11" s="13">
        <v>0.7</v>
      </c>
      <c r="D11" s="14"/>
      <c r="E11" s="14"/>
      <c r="F11" s="14"/>
      <c r="G11" s="14"/>
      <c r="H11" s="14"/>
      <c r="I11" s="12"/>
      <c r="J11" s="51"/>
      <c r="K11" s="13">
        <v>0.7</v>
      </c>
      <c r="L11" s="14"/>
      <c r="M11" s="14"/>
      <c r="N11" s="14"/>
      <c r="O11" s="14"/>
      <c r="P11" s="14"/>
    </row>
    <row r="12" spans="1:16" ht="16" customHeight="1">
      <c r="B12" s="51"/>
      <c r="C12" s="13">
        <v>0.8</v>
      </c>
      <c r="D12" s="14"/>
      <c r="E12" s="14"/>
      <c r="F12" s="14"/>
      <c r="G12" s="14"/>
      <c r="H12" s="14"/>
      <c r="I12" s="12"/>
      <c r="J12" s="51"/>
      <c r="K12" s="13">
        <v>0.8</v>
      </c>
      <c r="L12" s="14"/>
      <c r="M12" s="14"/>
      <c r="N12" s="14"/>
      <c r="O12" s="14"/>
      <c r="P12" s="14"/>
    </row>
    <row r="13" spans="1:16" ht="16" customHeight="1">
      <c r="B13" s="51"/>
      <c r="C13" s="13">
        <v>0.9</v>
      </c>
      <c r="D13" s="14"/>
      <c r="E13" s="14"/>
      <c r="F13" s="14"/>
      <c r="G13" s="14"/>
      <c r="H13" s="14"/>
      <c r="I13" s="12"/>
      <c r="J13" s="51"/>
      <c r="K13" s="13">
        <v>0.9</v>
      </c>
      <c r="L13" s="14"/>
      <c r="M13" s="14"/>
      <c r="N13" s="14"/>
      <c r="O13" s="14"/>
      <c r="P13" s="14"/>
    </row>
    <row r="14" spans="1:16" ht="16" customHeight="1">
      <c r="B14" s="51"/>
      <c r="C14" s="13">
        <v>1</v>
      </c>
      <c r="D14" s="14"/>
      <c r="E14" s="14"/>
      <c r="F14" s="14"/>
      <c r="G14" s="14"/>
      <c r="H14" s="14"/>
      <c r="I14" s="12"/>
      <c r="J14" s="51"/>
      <c r="K14" s="13">
        <v>1</v>
      </c>
      <c r="L14" s="14"/>
      <c r="M14" s="14"/>
      <c r="N14" s="14"/>
      <c r="O14" s="14"/>
      <c r="P14" s="14"/>
    </row>
    <row r="15" spans="1:16" ht="16" customHeight="1">
      <c r="B15" s="51"/>
      <c r="C15" s="13">
        <v>2</v>
      </c>
      <c r="D15" s="14"/>
      <c r="E15" s="14"/>
      <c r="F15" s="14"/>
      <c r="G15" s="14"/>
      <c r="H15" s="14"/>
      <c r="I15" s="12"/>
      <c r="J15" s="51"/>
      <c r="K15" s="13">
        <v>2</v>
      </c>
      <c r="L15" s="14"/>
      <c r="M15" s="14"/>
      <c r="N15" s="14"/>
      <c r="O15" s="14"/>
      <c r="P15" s="14"/>
    </row>
    <row r="16" spans="1:16" ht="16" customHeight="1">
      <c r="B16" s="51"/>
      <c r="C16" s="13">
        <v>3</v>
      </c>
      <c r="D16" s="14"/>
      <c r="E16" s="14"/>
      <c r="F16" s="14"/>
      <c r="G16" s="14"/>
      <c r="H16" s="14"/>
      <c r="I16" s="12"/>
      <c r="J16" s="51"/>
      <c r="K16" s="13">
        <v>3</v>
      </c>
      <c r="L16" s="14"/>
      <c r="M16" s="14"/>
      <c r="N16" s="14"/>
      <c r="O16" s="14"/>
      <c r="P16" s="14"/>
    </row>
  </sheetData>
  <mergeCells count="5">
    <mergeCell ref="D3:H3"/>
    <mergeCell ref="L3:P3"/>
    <mergeCell ref="B5:B16"/>
    <mergeCell ref="J5:J16"/>
    <mergeCell ref="A1:P1"/>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8"/>
  <sheetViews>
    <sheetView tabSelected="1" zoomScale="90" zoomScaleNormal="90" zoomScalePageLayoutView="90" workbookViewId="0">
      <selection activeCell="G18" sqref="G18"/>
    </sheetView>
  </sheetViews>
  <sheetFormatPr baseColWidth="10" defaultColWidth="10.83203125" defaultRowHeight="16"/>
  <cols>
    <col min="1" max="1" width="13.83203125" style="2" customWidth="1"/>
    <col min="2" max="2" width="13.5" style="2" customWidth="1"/>
    <col min="3" max="3" width="10.83203125" style="2"/>
    <col min="4" max="4" width="14.5" style="2" customWidth="1"/>
    <col min="5" max="5" width="15.33203125" style="2" customWidth="1"/>
    <col min="6" max="6" width="10.83203125" style="2"/>
    <col min="7" max="7" width="78" style="2" customWidth="1"/>
    <col min="8" max="16384" width="10.83203125" style="2"/>
  </cols>
  <sheetData>
    <row r="1" spans="1:8" ht="15.75" customHeight="1">
      <c r="A1" s="53" t="s">
        <v>3</v>
      </c>
      <c r="B1" s="53"/>
      <c r="C1" s="53"/>
      <c r="D1" s="53"/>
      <c r="E1" s="53"/>
      <c r="F1" s="16"/>
      <c r="G1" s="16"/>
      <c r="H1" s="16"/>
    </row>
    <row r="2" spans="1:8" ht="15.75" customHeight="1">
      <c r="A2" s="54"/>
      <c r="B2" s="54"/>
      <c r="C2" s="54"/>
      <c r="D2" s="54"/>
      <c r="E2" s="54"/>
      <c r="F2" s="16"/>
      <c r="G2" s="16"/>
      <c r="H2" s="16"/>
    </row>
    <row r="3" spans="1:8" ht="12" customHeight="1">
      <c r="A3" s="54"/>
      <c r="B3" s="54"/>
      <c r="C3" s="54"/>
      <c r="D3" s="54"/>
      <c r="E3" s="54"/>
      <c r="F3" s="16"/>
      <c r="G3" s="16"/>
      <c r="H3" s="16"/>
    </row>
    <row r="4" spans="1:8">
      <c r="A4" s="55"/>
      <c r="B4" s="55"/>
      <c r="C4" s="55"/>
      <c r="D4" s="55"/>
      <c r="E4" s="55"/>
      <c r="F4" s="5"/>
    </row>
    <row r="5" spans="1:8" ht="18">
      <c r="A5" s="26"/>
      <c r="B5" s="26"/>
      <c r="C5" s="26"/>
      <c r="D5" s="26"/>
      <c r="E5" s="26"/>
      <c r="F5" s="5"/>
      <c r="G5" s="2" t="s">
        <v>39</v>
      </c>
    </row>
    <row r="6" spans="1:8" ht="34">
      <c r="A6" s="27" t="s">
        <v>4</v>
      </c>
      <c r="B6" s="27" t="s">
        <v>5</v>
      </c>
      <c r="C6" s="28" t="s">
        <v>6</v>
      </c>
      <c r="D6" s="28" t="s">
        <v>7</v>
      </c>
      <c r="E6" s="28" t="s">
        <v>8</v>
      </c>
      <c r="F6" s="5"/>
      <c r="G6" s="2" t="s">
        <v>29</v>
      </c>
    </row>
    <row r="7" spans="1:8">
      <c r="A7" s="29">
        <v>0.41319444444444442</v>
      </c>
      <c r="B7" s="29">
        <v>0.43402777777777773</v>
      </c>
      <c r="C7" s="48">
        <v>2.0833333333333332E-2</v>
      </c>
      <c r="D7" s="31">
        <v>26</v>
      </c>
      <c r="E7" s="49">
        <v>0.87</v>
      </c>
      <c r="F7" s="5"/>
      <c r="G7" s="2" t="s">
        <v>32</v>
      </c>
    </row>
    <row r="8" spans="1:8">
      <c r="A8" s="29">
        <v>0.41666666666666669</v>
      </c>
      <c r="B8" s="29">
        <v>0.45833333333333331</v>
      </c>
      <c r="C8" s="30"/>
      <c r="D8" s="31">
        <v>38</v>
      </c>
      <c r="E8" s="32"/>
      <c r="F8" s="5"/>
      <c r="G8" s="2" t="s">
        <v>30</v>
      </c>
    </row>
    <row r="9" spans="1:8">
      <c r="A9" s="29">
        <v>0.42013888888888901</v>
      </c>
      <c r="B9" s="29">
        <v>0.48263888888888901</v>
      </c>
      <c r="C9" s="30"/>
      <c r="D9" s="31">
        <v>48</v>
      </c>
      <c r="E9" s="32"/>
      <c r="F9" s="5"/>
      <c r="G9" s="2" t="s">
        <v>31</v>
      </c>
    </row>
    <row r="10" spans="1:8">
      <c r="A10" s="29">
        <v>0.42361111111111099</v>
      </c>
      <c r="B10" s="29">
        <v>0.50694444444444398</v>
      </c>
      <c r="C10" s="30"/>
      <c r="D10" s="31">
        <v>57</v>
      </c>
      <c r="E10" s="32"/>
      <c r="F10" s="5"/>
    </row>
    <row r="11" spans="1:8">
      <c r="A11" s="29">
        <v>0.42708333333333398</v>
      </c>
      <c r="B11" s="29">
        <v>0.53125</v>
      </c>
      <c r="C11" s="30"/>
      <c r="D11" s="31">
        <v>65</v>
      </c>
      <c r="E11" s="32"/>
      <c r="F11" s="5"/>
      <c r="G11" s="2" t="s">
        <v>34</v>
      </c>
    </row>
    <row r="12" spans="1:8">
      <c r="A12" s="29">
        <v>0.43055555555555602</v>
      </c>
      <c r="B12" s="29">
        <v>0.55555555555555602</v>
      </c>
      <c r="C12" s="30"/>
      <c r="D12" s="31">
        <v>74</v>
      </c>
      <c r="E12" s="32"/>
      <c r="F12" s="5"/>
      <c r="G12" s="2" t="s">
        <v>33</v>
      </c>
    </row>
    <row r="13" spans="1:8">
      <c r="A13" s="29">
        <v>0.43402777777777801</v>
      </c>
      <c r="B13" s="29">
        <v>0.57986111111111105</v>
      </c>
      <c r="C13" s="30"/>
      <c r="D13" s="31">
        <v>81</v>
      </c>
      <c r="E13" s="32"/>
      <c r="F13" s="5"/>
    </row>
    <row r="14" spans="1:8">
      <c r="A14" s="29">
        <v>0.4375</v>
      </c>
      <c r="B14" s="29">
        <v>0.60416666666666696</v>
      </c>
      <c r="C14" s="30"/>
      <c r="D14" s="31">
        <v>86</v>
      </c>
      <c r="E14" s="32"/>
      <c r="F14" s="5"/>
      <c r="G14" s="2" t="s">
        <v>35</v>
      </c>
    </row>
    <row r="15" spans="1:8">
      <c r="A15" s="29">
        <v>0.44097222222222299</v>
      </c>
      <c r="B15" s="29">
        <v>0.62847222222222299</v>
      </c>
      <c r="C15" s="30"/>
      <c r="D15" s="31">
        <v>90</v>
      </c>
      <c r="E15" s="32"/>
      <c r="F15" s="5"/>
      <c r="G15" s="2" t="s">
        <v>36</v>
      </c>
    </row>
    <row r="18" spans="7:7">
      <c r="G18" s="2" t="s">
        <v>57</v>
      </c>
    </row>
  </sheetData>
  <mergeCells count="1">
    <mergeCell ref="A1:E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9"/>
  <sheetViews>
    <sheetView zoomScale="90" zoomScaleNormal="90" zoomScalePageLayoutView="90" workbookViewId="0">
      <selection activeCell="F9" sqref="F9"/>
    </sheetView>
  </sheetViews>
  <sheetFormatPr baseColWidth="10" defaultColWidth="10.83203125" defaultRowHeight="16"/>
  <cols>
    <col min="1" max="1" width="10.6640625" style="2" customWidth="1"/>
    <col min="2" max="5" width="10.83203125" style="2"/>
    <col min="6" max="6" width="72.33203125" style="2" customWidth="1"/>
    <col min="7" max="16384" width="10.83203125" style="2"/>
  </cols>
  <sheetData>
    <row r="1" spans="1:9" ht="18" customHeight="1">
      <c r="A1" s="56" t="s">
        <v>9</v>
      </c>
      <c r="B1" s="56"/>
      <c r="C1" s="56"/>
      <c r="D1" s="56"/>
      <c r="E1" s="1"/>
      <c r="F1" s="1"/>
      <c r="G1" s="1"/>
      <c r="H1" s="1"/>
      <c r="I1" s="1"/>
    </row>
    <row r="2" spans="1:9">
      <c r="A2" s="56"/>
      <c r="B2" s="56"/>
      <c r="C2" s="56"/>
      <c r="D2" s="56"/>
      <c r="E2" s="1"/>
      <c r="F2" s="1"/>
      <c r="G2" s="1"/>
      <c r="H2" s="1"/>
      <c r="I2" s="1"/>
    </row>
    <row r="3" spans="1:9" ht="18">
      <c r="A3" s="33"/>
      <c r="B3" s="33"/>
      <c r="C3" s="33"/>
      <c r="D3" s="33"/>
      <c r="E3" s="1"/>
      <c r="F3" s="1"/>
      <c r="G3" s="1"/>
      <c r="H3" s="1"/>
      <c r="I3" s="1"/>
    </row>
    <row r="4" spans="1:9">
      <c r="A4" s="17"/>
      <c r="B4" s="11" t="s">
        <v>10</v>
      </c>
      <c r="C4" s="11" t="s">
        <v>11</v>
      </c>
      <c r="D4" s="11" t="s">
        <v>12</v>
      </c>
      <c r="F4" s="2" t="s">
        <v>38</v>
      </c>
    </row>
    <row r="5" spans="1:9">
      <c r="A5" s="18" t="s">
        <v>13</v>
      </c>
      <c r="B5" s="19">
        <v>47</v>
      </c>
      <c r="C5" s="19">
        <v>37</v>
      </c>
      <c r="D5" s="19">
        <v>16</v>
      </c>
      <c r="F5" s="2" t="s">
        <v>56</v>
      </c>
    </row>
    <row r="6" spans="1:9">
      <c r="A6" s="18" t="s">
        <v>14</v>
      </c>
      <c r="B6" s="19">
        <v>60</v>
      </c>
      <c r="C6" s="19">
        <v>21</v>
      </c>
      <c r="D6" s="19">
        <v>19</v>
      </c>
    </row>
    <row r="7" spans="1:9">
      <c r="A7" s="1"/>
      <c r="B7" s="1"/>
      <c r="C7" s="1"/>
      <c r="D7" s="1"/>
    </row>
    <row r="8" spans="1:9">
      <c r="A8" s="1"/>
      <c r="B8" s="1"/>
      <c r="C8" s="1"/>
      <c r="D8" s="1"/>
    </row>
    <row r="9" spans="1:9">
      <c r="A9" s="1"/>
      <c r="B9" s="1"/>
      <c r="C9" s="1"/>
      <c r="D9" s="1"/>
    </row>
    <row r="10" spans="1:9">
      <c r="A10" s="1"/>
      <c r="B10" s="1"/>
      <c r="C10" s="1"/>
      <c r="D10" s="1"/>
    </row>
    <row r="11" spans="1:9">
      <c r="A11" s="1"/>
      <c r="B11" s="1"/>
      <c r="C11" s="1"/>
      <c r="D11" s="1"/>
    </row>
    <row r="12" spans="1:9">
      <c r="A12" s="1"/>
      <c r="B12" s="1"/>
      <c r="C12" s="1"/>
      <c r="D12" s="1"/>
    </row>
    <row r="13" spans="1:9">
      <c r="A13" s="1"/>
      <c r="B13" s="1"/>
      <c r="C13" s="1"/>
      <c r="D13" s="1"/>
    </row>
    <row r="14" spans="1:9">
      <c r="A14" s="1"/>
      <c r="B14" s="1"/>
      <c r="C14" s="1"/>
      <c r="D14" s="1"/>
    </row>
    <row r="15" spans="1:9">
      <c r="A15" s="1"/>
      <c r="B15" s="1"/>
      <c r="C15" s="1"/>
      <c r="D15" s="1"/>
    </row>
    <row r="16" spans="1:9">
      <c r="A16" s="1"/>
      <c r="B16" s="1"/>
      <c r="C16" s="1"/>
      <c r="D16" s="1"/>
    </row>
    <row r="17" spans="1:4">
      <c r="A17" s="1"/>
      <c r="B17" s="1"/>
      <c r="C17" s="1"/>
      <c r="D17" s="1"/>
    </row>
    <row r="18" spans="1:4">
      <c r="A18" s="1"/>
      <c r="B18" s="1"/>
      <c r="C18" s="1"/>
      <c r="D18" s="1"/>
    </row>
    <row r="19" spans="1:4">
      <c r="A19" s="1"/>
      <c r="B19" s="1"/>
      <c r="C19" s="1"/>
      <c r="D19" s="1"/>
    </row>
  </sheetData>
  <mergeCells count="1">
    <mergeCell ref="A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7"/>
  <sheetViews>
    <sheetView zoomScale="90" zoomScaleNormal="90" zoomScalePageLayoutView="90" workbookViewId="0">
      <selection activeCell="N8" sqref="N8"/>
    </sheetView>
  </sheetViews>
  <sheetFormatPr baseColWidth="10" defaultColWidth="8.83203125" defaultRowHeight="16"/>
  <cols>
    <col min="1" max="1" width="13" style="3" customWidth="1"/>
    <col min="2" max="2" width="16.33203125" style="3" customWidth="1"/>
    <col min="3" max="13" width="8.83203125" style="3"/>
    <col min="14" max="14" width="66.5" style="3" customWidth="1"/>
    <col min="15" max="16384" width="8.83203125" style="3"/>
  </cols>
  <sheetData>
    <row r="1" spans="1:14" ht="15" customHeight="1">
      <c r="A1" s="57" t="s">
        <v>15</v>
      </c>
      <c r="B1" s="57"/>
    </row>
    <row r="2" spans="1:14" ht="15" customHeight="1">
      <c r="A2" s="57"/>
      <c r="B2" s="57"/>
    </row>
    <row r="3" spans="1:14" ht="15" customHeight="1">
      <c r="A3" s="57"/>
      <c r="B3" s="57"/>
    </row>
    <row r="4" spans="1:14" ht="15" customHeight="1">
      <c r="A4" s="57"/>
      <c r="B4" s="57"/>
    </row>
    <row r="5" spans="1:14" ht="15" customHeight="1">
      <c r="A5" s="57"/>
      <c r="B5" s="57"/>
    </row>
    <row r="6" spans="1:14">
      <c r="A6" s="57"/>
      <c r="B6" s="57"/>
    </row>
    <row r="7" spans="1:14">
      <c r="A7" s="46"/>
      <c r="B7" s="46"/>
      <c r="D7" s="3" t="s">
        <v>37</v>
      </c>
    </row>
    <row r="8" spans="1:14">
      <c r="A8" s="20" t="s">
        <v>16</v>
      </c>
      <c r="B8" s="20" t="s">
        <v>17</v>
      </c>
      <c r="N8" s="2" t="s">
        <v>55</v>
      </c>
    </row>
    <row r="9" spans="1:14">
      <c r="A9" s="21">
        <v>117</v>
      </c>
      <c r="B9" s="22">
        <v>8.5</v>
      </c>
    </row>
    <row r="10" spans="1:14">
      <c r="A10" s="21">
        <v>108</v>
      </c>
      <c r="B10" s="22">
        <v>7.7</v>
      </c>
    </row>
    <row r="11" spans="1:14">
      <c r="A11" s="21">
        <v>103</v>
      </c>
      <c r="B11" s="22">
        <v>7.5</v>
      </c>
    </row>
    <row r="12" spans="1:14">
      <c r="A12" s="21">
        <v>99</v>
      </c>
      <c r="B12" s="22">
        <v>7.2</v>
      </c>
    </row>
    <row r="13" spans="1:14">
      <c r="A13" s="21">
        <v>96</v>
      </c>
      <c r="B13" s="22">
        <v>6.5</v>
      </c>
    </row>
    <row r="14" spans="1:14">
      <c r="A14" s="21">
        <v>93</v>
      </c>
      <c r="B14" s="22">
        <v>7.3</v>
      </c>
    </row>
    <row r="15" spans="1:14">
      <c r="A15" s="21">
        <v>92</v>
      </c>
      <c r="B15" s="22">
        <v>6.7</v>
      </c>
    </row>
    <row r="16" spans="1:14">
      <c r="A16" s="21">
        <v>86</v>
      </c>
      <c r="B16" s="22">
        <v>5.4</v>
      </c>
    </row>
    <row r="17" spans="1:2">
      <c r="A17" s="21">
        <v>80</v>
      </c>
      <c r="B17" s="22">
        <v>5.0999999999999996</v>
      </c>
    </row>
  </sheetData>
  <sortState xmlns:xlrd2="http://schemas.microsoft.com/office/spreadsheetml/2017/richdata2" ref="A4:B12">
    <sortCondition ref="A4"/>
  </sortState>
  <mergeCells count="1">
    <mergeCell ref="A1:B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5"/>
  <sheetViews>
    <sheetView zoomScale="90" zoomScaleNormal="90" zoomScalePageLayoutView="90" workbookViewId="0">
      <selection activeCell="O10" sqref="O10"/>
    </sheetView>
  </sheetViews>
  <sheetFormatPr baseColWidth="10" defaultColWidth="8.83203125" defaultRowHeight="13"/>
  <cols>
    <col min="1" max="1" width="23.5" style="4" customWidth="1"/>
    <col min="2" max="2" width="17.6640625" style="4" customWidth="1"/>
    <col min="3" max="3" width="12.5" style="4" customWidth="1"/>
    <col min="4" max="14" width="8.83203125" style="4"/>
    <col min="15" max="15" width="53.5" style="4" customWidth="1"/>
    <col min="16" max="256" width="8.83203125" style="4"/>
    <col min="257" max="257" width="13.33203125" style="4" bestFit="1" customWidth="1"/>
    <col min="258" max="258" width="10.6640625" style="4" bestFit="1" customWidth="1"/>
    <col min="259" max="512" width="8.83203125" style="4"/>
    <col min="513" max="513" width="13.33203125" style="4" bestFit="1" customWidth="1"/>
    <col min="514" max="514" width="10.6640625" style="4" bestFit="1" customWidth="1"/>
    <col min="515" max="768" width="8.83203125" style="4"/>
    <col min="769" max="769" width="13.33203125" style="4" bestFit="1" customWidth="1"/>
    <col min="770" max="770" width="10.6640625" style="4" bestFit="1" customWidth="1"/>
    <col min="771" max="1024" width="8.83203125" style="4"/>
    <col min="1025" max="1025" width="13.33203125" style="4" bestFit="1" customWidth="1"/>
    <col min="1026" max="1026" width="10.6640625" style="4" bestFit="1" customWidth="1"/>
    <col min="1027" max="1280" width="8.83203125" style="4"/>
    <col min="1281" max="1281" width="13.33203125" style="4" bestFit="1" customWidth="1"/>
    <col min="1282" max="1282" width="10.6640625" style="4" bestFit="1" customWidth="1"/>
    <col min="1283" max="1536" width="8.83203125" style="4"/>
    <col min="1537" max="1537" width="13.33203125" style="4" bestFit="1" customWidth="1"/>
    <col min="1538" max="1538" width="10.6640625" style="4" bestFit="1" customWidth="1"/>
    <col min="1539" max="1792" width="8.83203125" style="4"/>
    <col min="1793" max="1793" width="13.33203125" style="4" bestFit="1" customWidth="1"/>
    <col min="1794" max="1794" width="10.6640625" style="4" bestFit="1" customWidth="1"/>
    <col min="1795" max="2048" width="8.83203125" style="4"/>
    <col min="2049" max="2049" width="13.33203125" style="4" bestFit="1" customWidth="1"/>
    <col min="2050" max="2050" width="10.6640625" style="4" bestFit="1" customWidth="1"/>
    <col min="2051" max="2304" width="8.83203125" style="4"/>
    <col min="2305" max="2305" width="13.33203125" style="4" bestFit="1" customWidth="1"/>
    <col min="2306" max="2306" width="10.6640625" style="4" bestFit="1" customWidth="1"/>
    <col min="2307" max="2560" width="8.83203125" style="4"/>
    <col min="2561" max="2561" width="13.33203125" style="4" bestFit="1" customWidth="1"/>
    <col min="2562" max="2562" width="10.6640625" style="4" bestFit="1" customWidth="1"/>
    <col min="2563" max="2816" width="8.83203125" style="4"/>
    <col min="2817" max="2817" width="13.33203125" style="4" bestFit="1" customWidth="1"/>
    <col min="2818" max="2818" width="10.6640625" style="4" bestFit="1" customWidth="1"/>
    <col min="2819" max="3072" width="8.83203125" style="4"/>
    <col min="3073" max="3073" width="13.33203125" style="4" bestFit="1" customWidth="1"/>
    <col min="3074" max="3074" width="10.6640625" style="4" bestFit="1" customWidth="1"/>
    <col min="3075" max="3328" width="8.83203125" style="4"/>
    <col min="3329" max="3329" width="13.33203125" style="4" bestFit="1" customWidth="1"/>
    <col min="3330" max="3330" width="10.6640625" style="4" bestFit="1" customWidth="1"/>
    <col min="3331" max="3584" width="8.83203125" style="4"/>
    <col min="3585" max="3585" width="13.33203125" style="4" bestFit="1" customWidth="1"/>
    <col min="3586" max="3586" width="10.6640625" style="4" bestFit="1" customWidth="1"/>
    <col min="3587" max="3840" width="8.83203125" style="4"/>
    <col min="3841" max="3841" width="13.33203125" style="4" bestFit="1" customWidth="1"/>
    <col min="3842" max="3842" width="10.6640625" style="4" bestFit="1" customWidth="1"/>
    <col min="3843" max="4096" width="8.83203125" style="4"/>
    <col min="4097" max="4097" width="13.33203125" style="4" bestFit="1" customWidth="1"/>
    <col min="4098" max="4098" width="10.6640625" style="4" bestFit="1" customWidth="1"/>
    <col min="4099" max="4352" width="8.83203125" style="4"/>
    <col min="4353" max="4353" width="13.33203125" style="4" bestFit="1" customWidth="1"/>
    <col min="4354" max="4354" width="10.6640625" style="4" bestFit="1" customWidth="1"/>
    <col min="4355" max="4608" width="8.83203125" style="4"/>
    <col min="4609" max="4609" width="13.33203125" style="4" bestFit="1" customWidth="1"/>
    <col min="4610" max="4610" width="10.6640625" style="4" bestFit="1" customWidth="1"/>
    <col min="4611" max="4864" width="8.83203125" style="4"/>
    <col min="4865" max="4865" width="13.33203125" style="4" bestFit="1" customWidth="1"/>
    <col min="4866" max="4866" width="10.6640625" style="4" bestFit="1" customWidth="1"/>
    <col min="4867" max="5120" width="8.83203125" style="4"/>
    <col min="5121" max="5121" width="13.33203125" style="4" bestFit="1" customWidth="1"/>
    <col min="5122" max="5122" width="10.6640625" style="4" bestFit="1" customWidth="1"/>
    <col min="5123" max="5376" width="8.83203125" style="4"/>
    <col min="5377" max="5377" width="13.33203125" style="4" bestFit="1" customWidth="1"/>
    <col min="5378" max="5378" width="10.6640625" style="4" bestFit="1" customWidth="1"/>
    <col min="5379" max="5632" width="8.83203125" style="4"/>
    <col min="5633" max="5633" width="13.33203125" style="4" bestFit="1" customWidth="1"/>
    <col min="5634" max="5634" width="10.6640625" style="4" bestFit="1" customWidth="1"/>
    <col min="5635" max="5888" width="8.83203125" style="4"/>
    <col min="5889" max="5889" width="13.33203125" style="4" bestFit="1" customWidth="1"/>
    <col min="5890" max="5890" width="10.6640625" style="4" bestFit="1" customWidth="1"/>
    <col min="5891" max="6144" width="8.83203125" style="4"/>
    <col min="6145" max="6145" width="13.33203125" style="4" bestFit="1" customWidth="1"/>
    <col min="6146" max="6146" width="10.6640625" style="4" bestFit="1" customWidth="1"/>
    <col min="6147" max="6400" width="8.83203125" style="4"/>
    <col min="6401" max="6401" width="13.33203125" style="4" bestFit="1" customWidth="1"/>
    <col min="6402" max="6402" width="10.6640625" style="4" bestFit="1" customWidth="1"/>
    <col min="6403" max="6656" width="8.83203125" style="4"/>
    <col min="6657" max="6657" width="13.33203125" style="4" bestFit="1" customWidth="1"/>
    <col min="6658" max="6658" width="10.6640625" style="4" bestFit="1" customWidth="1"/>
    <col min="6659" max="6912" width="8.83203125" style="4"/>
    <col min="6913" max="6913" width="13.33203125" style="4" bestFit="1" customWidth="1"/>
    <col min="6914" max="6914" width="10.6640625" style="4" bestFit="1" customWidth="1"/>
    <col min="6915" max="7168" width="8.83203125" style="4"/>
    <col min="7169" max="7169" width="13.33203125" style="4" bestFit="1" customWidth="1"/>
    <col min="7170" max="7170" width="10.6640625" style="4" bestFit="1" customWidth="1"/>
    <col min="7171" max="7424" width="8.83203125" style="4"/>
    <col min="7425" max="7425" width="13.33203125" style="4" bestFit="1" customWidth="1"/>
    <col min="7426" max="7426" width="10.6640625" style="4" bestFit="1" customWidth="1"/>
    <col min="7427" max="7680" width="8.83203125" style="4"/>
    <col min="7681" max="7681" width="13.33203125" style="4" bestFit="1" customWidth="1"/>
    <col min="7682" max="7682" width="10.6640625" style="4" bestFit="1" customWidth="1"/>
    <col min="7683" max="7936" width="8.83203125" style="4"/>
    <col min="7937" max="7937" width="13.33203125" style="4" bestFit="1" customWidth="1"/>
    <col min="7938" max="7938" width="10.6640625" style="4" bestFit="1" customWidth="1"/>
    <col min="7939" max="8192" width="8.83203125" style="4"/>
    <col min="8193" max="8193" width="13.33203125" style="4" bestFit="1" customWidth="1"/>
    <col min="8194" max="8194" width="10.6640625" style="4" bestFit="1" customWidth="1"/>
    <col min="8195" max="8448" width="8.83203125" style="4"/>
    <col min="8449" max="8449" width="13.33203125" style="4" bestFit="1" customWidth="1"/>
    <col min="8450" max="8450" width="10.6640625" style="4" bestFit="1" customWidth="1"/>
    <col min="8451" max="8704" width="8.83203125" style="4"/>
    <col min="8705" max="8705" width="13.33203125" style="4" bestFit="1" customWidth="1"/>
    <col min="8706" max="8706" width="10.6640625" style="4" bestFit="1" customWidth="1"/>
    <col min="8707" max="8960" width="8.83203125" style="4"/>
    <col min="8961" max="8961" width="13.33203125" style="4" bestFit="1" customWidth="1"/>
    <col min="8962" max="8962" width="10.6640625" style="4" bestFit="1" customWidth="1"/>
    <col min="8963" max="9216" width="8.83203125" style="4"/>
    <col min="9217" max="9217" width="13.33203125" style="4" bestFit="1" customWidth="1"/>
    <col min="9218" max="9218" width="10.6640625" style="4" bestFit="1" customWidth="1"/>
    <col min="9219" max="9472" width="8.83203125" style="4"/>
    <col min="9473" max="9473" width="13.33203125" style="4" bestFit="1" customWidth="1"/>
    <col min="9474" max="9474" width="10.6640625" style="4" bestFit="1" customWidth="1"/>
    <col min="9475" max="9728" width="8.83203125" style="4"/>
    <col min="9729" max="9729" width="13.33203125" style="4" bestFit="1" customWidth="1"/>
    <col min="9730" max="9730" width="10.6640625" style="4" bestFit="1" customWidth="1"/>
    <col min="9731" max="9984" width="8.83203125" style="4"/>
    <col min="9985" max="9985" width="13.33203125" style="4" bestFit="1" customWidth="1"/>
    <col min="9986" max="9986" width="10.6640625" style="4" bestFit="1" customWidth="1"/>
    <col min="9987" max="10240" width="8.83203125" style="4"/>
    <col min="10241" max="10241" width="13.33203125" style="4" bestFit="1" customWidth="1"/>
    <col min="10242" max="10242" width="10.6640625" style="4" bestFit="1" customWidth="1"/>
    <col min="10243" max="10496" width="8.83203125" style="4"/>
    <col min="10497" max="10497" width="13.33203125" style="4" bestFit="1" customWidth="1"/>
    <col min="10498" max="10498" width="10.6640625" style="4" bestFit="1" customWidth="1"/>
    <col min="10499" max="10752" width="8.83203125" style="4"/>
    <col min="10753" max="10753" width="13.33203125" style="4" bestFit="1" customWidth="1"/>
    <col min="10754" max="10754" width="10.6640625" style="4" bestFit="1" customWidth="1"/>
    <col min="10755" max="11008" width="8.83203125" style="4"/>
    <col min="11009" max="11009" width="13.33203125" style="4" bestFit="1" customWidth="1"/>
    <col min="11010" max="11010" width="10.6640625" style="4" bestFit="1" customWidth="1"/>
    <col min="11011" max="11264" width="8.83203125" style="4"/>
    <col min="11265" max="11265" width="13.33203125" style="4" bestFit="1" customWidth="1"/>
    <col min="11266" max="11266" width="10.6640625" style="4" bestFit="1" customWidth="1"/>
    <col min="11267" max="11520" width="8.83203125" style="4"/>
    <col min="11521" max="11521" width="13.33203125" style="4" bestFit="1" customWidth="1"/>
    <col min="11522" max="11522" width="10.6640625" style="4" bestFit="1" customWidth="1"/>
    <col min="11523" max="11776" width="8.83203125" style="4"/>
    <col min="11777" max="11777" width="13.33203125" style="4" bestFit="1" customWidth="1"/>
    <col min="11778" max="11778" width="10.6640625" style="4" bestFit="1" customWidth="1"/>
    <col min="11779" max="12032" width="8.83203125" style="4"/>
    <col min="12033" max="12033" width="13.33203125" style="4" bestFit="1" customWidth="1"/>
    <col min="12034" max="12034" width="10.6640625" style="4" bestFit="1" customWidth="1"/>
    <col min="12035" max="12288" width="8.83203125" style="4"/>
    <col min="12289" max="12289" width="13.33203125" style="4" bestFit="1" customWidth="1"/>
    <col min="12290" max="12290" width="10.6640625" style="4" bestFit="1" customWidth="1"/>
    <col min="12291" max="12544" width="8.83203125" style="4"/>
    <col min="12545" max="12545" width="13.33203125" style="4" bestFit="1" customWidth="1"/>
    <col min="12546" max="12546" width="10.6640625" style="4" bestFit="1" customWidth="1"/>
    <col min="12547" max="12800" width="8.83203125" style="4"/>
    <col min="12801" max="12801" width="13.33203125" style="4" bestFit="1" customWidth="1"/>
    <col min="12802" max="12802" width="10.6640625" style="4" bestFit="1" customWidth="1"/>
    <col min="12803" max="13056" width="8.83203125" style="4"/>
    <col min="13057" max="13057" width="13.33203125" style="4" bestFit="1" customWidth="1"/>
    <col min="13058" max="13058" width="10.6640625" style="4" bestFit="1" customWidth="1"/>
    <col min="13059" max="13312" width="8.83203125" style="4"/>
    <col min="13313" max="13313" width="13.33203125" style="4" bestFit="1" customWidth="1"/>
    <col min="13314" max="13314" width="10.6640625" style="4" bestFit="1" customWidth="1"/>
    <col min="13315" max="13568" width="8.83203125" style="4"/>
    <col min="13569" max="13569" width="13.33203125" style="4" bestFit="1" customWidth="1"/>
    <col min="13570" max="13570" width="10.6640625" style="4" bestFit="1" customWidth="1"/>
    <col min="13571" max="13824" width="8.83203125" style="4"/>
    <col min="13825" max="13825" width="13.33203125" style="4" bestFit="1" customWidth="1"/>
    <col min="13826" max="13826" width="10.6640625" style="4" bestFit="1" customWidth="1"/>
    <col min="13827" max="14080" width="8.83203125" style="4"/>
    <col min="14081" max="14081" width="13.33203125" style="4" bestFit="1" customWidth="1"/>
    <col min="14082" max="14082" width="10.6640625" style="4" bestFit="1" customWidth="1"/>
    <col min="14083" max="14336" width="8.83203125" style="4"/>
    <col min="14337" max="14337" width="13.33203125" style="4" bestFit="1" customWidth="1"/>
    <col min="14338" max="14338" width="10.6640625" style="4" bestFit="1" customWidth="1"/>
    <col min="14339" max="14592" width="8.83203125" style="4"/>
    <col min="14593" max="14593" width="13.33203125" style="4" bestFit="1" customWidth="1"/>
    <col min="14594" max="14594" width="10.6640625" style="4" bestFit="1" customWidth="1"/>
    <col min="14595" max="14848" width="8.83203125" style="4"/>
    <col min="14849" max="14849" width="13.33203125" style="4" bestFit="1" customWidth="1"/>
    <col min="14850" max="14850" width="10.6640625" style="4" bestFit="1" customWidth="1"/>
    <col min="14851" max="15104" width="8.83203125" style="4"/>
    <col min="15105" max="15105" width="13.33203125" style="4" bestFit="1" customWidth="1"/>
    <col min="15106" max="15106" width="10.6640625" style="4" bestFit="1" customWidth="1"/>
    <col min="15107" max="15360" width="8.83203125" style="4"/>
    <col min="15361" max="15361" width="13.33203125" style="4" bestFit="1" customWidth="1"/>
    <col min="15362" max="15362" width="10.6640625" style="4" bestFit="1" customWidth="1"/>
    <col min="15363" max="15616" width="8.83203125" style="4"/>
    <col min="15617" max="15617" width="13.33203125" style="4" bestFit="1" customWidth="1"/>
    <col min="15618" max="15618" width="10.6640625" style="4" bestFit="1" customWidth="1"/>
    <col min="15619" max="15872" width="8.83203125" style="4"/>
    <col min="15873" max="15873" width="13.33203125" style="4" bestFit="1" customWidth="1"/>
    <col min="15874" max="15874" width="10.6640625" style="4" bestFit="1" customWidth="1"/>
    <col min="15875" max="16128" width="8.83203125" style="4"/>
    <col min="16129" max="16129" width="13.33203125" style="4" bestFit="1" customWidth="1"/>
    <col min="16130" max="16130" width="10.6640625" style="4" bestFit="1" customWidth="1"/>
    <col min="16131" max="16384" width="8.83203125" style="4"/>
  </cols>
  <sheetData>
    <row r="1" spans="1:15" ht="12.75" customHeight="1">
      <c r="A1" s="58" t="s">
        <v>18</v>
      </c>
      <c r="B1" s="59"/>
      <c r="C1" s="37"/>
      <c r="D1" s="37"/>
    </row>
    <row r="2" spans="1:15" ht="12.75" customHeight="1">
      <c r="A2" s="58"/>
      <c r="B2" s="59"/>
      <c r="C2" s="37"/>
      <c r="D2" s="37"/>
    </row>
    <row r="3" spans="1:15" ht="12.75" customHeight="1">
      <c r="A3" s="58"/>
      <c r="B3" s="59"/>
      <c r="C3" s="37"/>
      <c r="D3" s="37"/>
    </row>
    <row r="4" spans="1:15" ht="16">
      <c r="A4" s="58"/>
      <c r="B4" s="58"/>
      <c r="C4" s="34"/>
      <c r="D4" s="34"/>
    </row>
    <row r="5" spans="1:15" ht="16">
      <c r="A5" s="58"/>
      <c r="B5" s="58"/>
      <c r="C5" s="34"/>
      <c r="D5" s="34"/>
    </row>
    <row r="6" spans="1:15" ht="16">
      <c r="A6" s="58"/>
      <c r="B6" s="58"/>
      <c r="C6" s="34"/>
      <c r="D6" s="34"/>
      <c r="E6" s="1" t="s">
        <v>39</v>
      </c>
    </row>
    <row r="7" spans="1:15">
      <c r="E7" s="1" t="s">
        <v>40</v>
      </c>
    </row>
    <row r="8" spans="1:15" ht="18">
      <c r="A8" s="11" t="s">
        <v>19</v>
      </c>
      <c r="B8" s="11" t="s">
        <v>20</v>
      </c>
    </row>
    <row r="9" spans="1:15" ht="16">
      <c r="A9" s="35">
        <v>2.5999999999999999E-3</v>
      </c>
      <c r="B9" s="36">
        <v>2.5</v>
      </c>
    </row>
    <row r="10" spans="1:15" ht="16">
      <c r="A10" s="35">
        <v>3.0000000000000001E-3</v>
      </c>
      <c r="B10" s="36">
        <v>2.9</v>
      </c>
      <c r="O10" s="1" t="s">
        <v>54</v>
      </c>
    </row>
    <row r="11" spans="1:15" ht="16">
      <c r="A11" s="35">
        <v>5.1999999999999998E-3</v>
      </c>
      <c r="B11" s="36">
        <v>2.9</v>
      </c>
    </row>
    <row r="12" spans="1:15" ht="16">
      <c r="A12" s="35">
        <v>9.7999999999999997E-3</v>
      </c>
      <c r="B12" s="36">
        <v>3.3</v>
      </c>
    </row>
    <row r="13" spans="1:15" ht="16">
      <c r="A13" s="35">
        <v>1.35E-2</v>
      </c>
      <c r="B13" s="36">
        <v>3.3</v>
      </c>
    </row>
    <row r="14" spans="1:15" ht="16">
      <c r="A14" s="35">
        <v>1.9099999999999999E-2</v>
      </c>
      <c r="B14" s="36">
        <v>3.3</v>
      </c>
    </row>
    <row r="15" spans="1:15" ht="16">
      <c r="A15" s="35">
        <v>2.8500000000000001E-2</v>
      </c>
      <c r="B15" s="36">
        <v>4.2</v>
      </c>
    </row>
    <row r="16" spans="1:15" ht="16">
      <c r="A16" s="35">
        <v>4.0300000000000002E-2</v>
      </c>
      <c r="B16" s="36">
        <v>4.2</v>
      </c>
    </row>
    <row r="17" spans="1:2" ht="16">
      <c r="A17" s="35">
        <v>5.6800000000000003E-2</v>
      </c>
      <c r="B17" s="36">
        <v>5.8</v>
      </c>
    </row>
    <row r="18" spans="1:2" ht="16">
      <c r="A18" s="35">
        <v>6.3E-2</v>
      </c>
      <c r="B18" s="36">
        <v>6</v>
      </c>
    </row>
    <row r="19" spans="1:2" ht="16">
      <c r="A19" s="35">
        <v>0.09</v>
      </c>
      <c r="B19" s="36">
        <v>8.9</v>
      </c>
    </row>
    <row r="20" spans="1:2" ht="16">
      <c r="A20" s="35">
        <v>0.125</v>
      </c>
      <c r="B20" s="36">
        <v>23.3</v>
      </c>
    </row>
    <row r="21" spans="1:2" ht="16">
      <c r="A21" s="35">
        <v>0.18</v>
      </c>
      <c r="B21" s="36">
        <v>59.2</v>
      </c>
    </row>
    <row r="22" spans="1:2" ht="16">
      <c r="A22" s="35">
        <v>0.25</v>
      </c>
      <c r="B22" s="36">
        <v>89</v>
      </c>
    </row>
    <row r="23" spans="1:2" ht="16">
      <c r="A23" s="35">
        <v>0.3</v>
      </c>
      <c r="B23" s="36">
        <v>96.1</v>
      </c>
    </row>
    <row r="24" spans="1:2" ht="16">
      <c r="A24" s="35">
        <v>0.42499999999999999</v>
      </c>
      <c r="B24" s="36">
        <v>99.9</v>
      </c>
    </row>
    <row r="25" spans="1:2" ht="16">
      <c r="A25" s="35">
        <v>0.5</v>
      </c>
      <c r="B25" s="36">
        <v>100</v>
      </c>
    </row>
  </sheetData>
  <mergeCells count="1">
    <mergeCell ref="A1:B6"/>
  </mergeCells>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38"/>
  <sheetViews>
    <sheetView topLeftCell="E3" workbookViewId="0">
      <selection activeCell="O23" sqref="O23"/>
    </sheetView>
  </sheetViews>
  <sheetFormatPr baseColWidth="10" defaultColWidth="8.83203125" defaultRowHeight="15"/>
  <cols>
    <col min="6" max="6" width="10.33203125" customWidth="1"/>
    <col min="10" max="10" width="11.5" customWidth="1"/>
    <col min="15" max="15" width="90.6640625" customWidth="1"/>
  </cols>
  <sheetData>
    <row r="1" spans="1:15" ht="18">
      <c r="A1" s="44" t="s">
        <v>21</v>
      </c>
      <c r="B1" s="44"/>
      <c r="C1" s="44"/>
      <c r="D1" s="44"/>
      <c r="E1" s="44"/>
      <c r="F1" s="44"/>
      <c r="G1" s="44"/>
      <c r="H1" s="44"/>
      <c r="I1" s="44"/>
      <c r="J1" s="44"/>
    </row>
    <row r="2" spans="1:15">
      <c r="A2" s="6"/>
    </row>
    <row r="3" spans="1:15" ht="15" customHeight="1">
      <c r="A3" s="60" t="s">
        <v>22</v>
      </c>
      <c r="B3" s="60"/>
      <c r="C3" s="60"/>
      <c r="D3" s="60"/>
      <c r="E3" s="60"/>
      <c r="F3" s="60"/>
      <c r="G3" s="60"/>
      <c r="H3" s="60"/>
      <c r="I3" s="60"/>
      <c r="J3" s="60"/>
      <c r="O3" s="64" t="s">
        <v>52</v>
      </c>
    </row>
    <row r="4" spans="1:15">
      <c r="A4" s="60"/>
      <c r="B4" s="60"/>
      <c r="C4" s="60"/>
      <c r="D4" s="60"/>
      <c r="E4" s="60"/>
      <c r="F4" s="60"/>
      <c r="G4" s="60"/>
      <c r="H4" s="60"/>
      <c r="I4" s="60"/>
      <c r="J4" s="60"/>
      <c r="O4" s="65"/>
    </row>
    <row r="5" spans="1:15" ht="30" customHeight="1">
      <c r="A5" s="60"/>
      <c r="B5" s="60"/>
      <c r="C5" s="60"/>
      <c r="D5" s="60"/>
      <c r="E5" s="60"/>
      <c r="F5" s="60"/>
      <c r="G5" s="60"/>
      <c r="H5" s="60"/>
      <c r="I5" s="60"/>
      <c r="J5" s="60"/>
      <c r="O5" s="63" t="s">
        <v>41</v>
      </c>
    </row>
    <row r="6" spans="1:15" ht="17">
      <c r="O6" s="63" t="s">
        <v>42</v>
      </c>
    </row>
    <row r="7" spans="1:15" ht="36" customHeight="1">
      <c r="A7" s="47" t="s">
        <v>23</v>
      </c>
      <c r="B7" s="38" t="s">
        <v>24</v>
      </c>
      <c r="C7" s="39" t="s">
        <v>25</v>
      </c>
      <c r="D7" s="23"/>
      <c r="E7" s="61" t="s">
        <v>26</v>
      </c>
      <c r="F7" s="61"/>
      <c r="G7" s="61"/>
      <c r="O7" s="63" t="s">
        <v>43</v>
      </c>
    </row>
    <row r="8" spans="1:15" ht="16">
      <c r="A8" s="24">
        <v>0</v>
      </c>
      <c r="B8" s="40">
        <v>1.01</v>
      </c>
      <c r="C8" s="24"/>
      <c r="D8" s="23"/>
      <c r="E8" s="25"/>
      <c r="F8" s="25"/>
      <c r="G8" s="25"/>
      <c r="O8" s="63" t="s">
        <v>44</v>
      </c>
    </row>
    <row r="9" spans="1:15" ht="18">
      <c r="A9" s="24">
        <v>2</v>
      </c>
      <c r="B9" s="40">
        <v>1.05</v>
      </c>
      <c r="C9" s="41">
        <f>(B9-B8)/(A9-A8)</f>
        <v>2.0000000000000018E-2</v>
      </c>
      <c r="D9" s="23"/>
      <c r="E9" s="62" t="s">
        <v>27</v>
      </c>
      <c r="F9" s="62"/>
      <c r="G9" s="42"/>
      <c r="O9" s="63" t="s">
        <v>45</v>
      </c>
    </row>
    <row r="10" spans="1:15" ht="16">
      <c r="A10" s="24">
        <v>4</v>
      </c>
      <c r="B10" s="40">
        <v>1.1000000000000001</v>
      </c>
      <c r="C10" s="41">
        <f t="shared" ref="C10:C28" si="0">(B10-B9)/(A10-A9)</f>
        <v>2.5000000000000022E-2</v>
      </c>
      <c r="D10" s="23"/>
      <c r="E10" s="43"/>
      <c r="F10" s="25"/>
      <c r="G10" s="25"/>
      <c r="O10" s="63" t="s">
        <v>46</v>
      </c>
    </row>
    <row r="11" spans="1:15" ht="18" customHeight="1">
      <c r="A11" s="24">
        <v>6</v>
      </c>
      <c r="B11" s="40">
        <v>1.1499999999999999</v>
      </c>
      <c r="C11" s="41">
        <f t="shared" si="0"/>
        <v>2.4999999999999911E-2</v>
      </c>
      <c r="D11" s="23"/>
      <c r="E11" s="62" t="s">
        <v>28</v>
      </c>
      <c r="F11" s="62"/>
      <c r="G11" s="42"/>
      <c r="O11" s="63" t="s">
        <v>47</v>
      </c>
    </row>
    <row r="12" spans="1:15" ht="17">
      <c r="A12" s="24">
        <v>8</v>
      </c>
      <c r="B12" s="40">
        <v>1.18</v>
      </c>
      <c r="C12" s="41">
        <f t="shared" si="0"/>
        <v>1.5000000000000013E-2</v>
      </c>
      <c r="D12" s="23"/>
      <c r="E12" s="23"/>
      <c r="F12" s="23"/>
      <c r="G12" s="23"/>
      <c r="O12" s="63" t="s">
        <v>48</v>
      </c>
    </row>
    <row r="13" spans="1:15" ht="16">
      <c r="A13" s="24">
        <v>10</v>
      </c>
      <c r="B13" s="40">
        <v>1.22</v>
      </c>
      <c r="C13" s="41">
        <f t="shared" si="0"/>
        <v>2.0000000000000018E-2</v>
      </c>
      <c r="D13" s="23"/>
      <c r="E13" s="23"/>
      <c r="F13" s="23"/>
      <c r="G13" s="23"/>
      <c r="O13" s="63" t="s">
        <v>49</v>
      </c>
    </row>
    <row r="14" spans="1:15" ht="16">
      <c r="A14" s="24">
        <v>12</v>
      </c>
      <c r="B14" s="40">
        <v>1.28</v>
      </c>
      <c r="C14" s="41">
        <f t="shared" si="0"/>
        <v>3.0000000000000027E-2</v>
      </c>
      <c r="D14" s="23"/>
      <c r="E14" s="23"/>
      <c r="F14" s="23"/>
      <c r="G14" s="23"/>
      <c r="O14" s="63" t="s">
        <v>50</v>
      </c>
    </row>
    <row r="15" spans="1:15" ht="16">
      <c r="A15" s="24">
        <v>14</v>
      </c>
      <c r="B15" s="40">
        <v>1.33</v>
      </c>
      <c r="C15" s="41">
        <f t="shared" si="0"/>
        <v>2.5000000000000022E-2</v>
      </c>
      <c r="D15" s="23"/>
      <c r="E15" s="23"/>
      <c r="F15" s="23"/>
      <c r="G15" s="23"/>
      <c r="O15" s="63" t="s">
        <v>51</v>
      </c>
    </row>
    <row r="16" spans="1:15" ht="16">
      <c r="A16" s="24">
        <v>16</v>
      </c>
      <c r="B16" s="40">
        <v>1.38</v>
      </c>
      <c r="C16" s="41">
        <f t="shared" si="0"/>
        <v>2.4999999999999911E-2</v>
      </c>
      <c r="D16" s="23"/>
      <c r="E16" s="23"/>
      <c r="F16" s="23"/>
      <c r="G16" s="23"/>
    </row>
    <row r="17" spans="1:15" ht="16">
      <c r="A17" s="24">
        <v>18</v>
      </c>
      <c r="B17" s="40">
        <v>1.44</v>
      </c>
      <c r="C17" s="41">
        <f t="shared" si="0"/>
        <v>3.0000000000000027E-2</v>
      </c>
      <c r="D17" s="23"/>
      <c r="E17" s="23"/>
      <c r="F17" s="23"/>
      <c r="G17" s="23"/>
    </row>
    <row r="18" spans="1:15" ht="16">
      <c r="A18" s="24">
        <v>20</v>
      </c>
      <c r="B18" s="40">
        <v>1.45</v>
      </c>
      <c r="C18" s="41">
        <f t="shared" si="0"/>
        <v>5.0000000000000044E-3</v>
      </c>
      <c r="D18" s="23"/>
      <c r="E18" s="23"/>
      <c r="F18" s="23"/>
      <c r="G18" s="23"/>
    </row>
    <row r="19" spans="1:15" ht="16">
      <c r="A19" s="24">
        <v>22</v>
      </c>
      <c r="B19" s="40">
        <v>1.48</v>
      </c>
      <c r="C19" s="41">
        <f t="shared" si="0"/>
        <v>1.5000000000000013E-2</v>
      </c>
      <c r="D19" s="23"/>
      <c r="E19" s="23"/>
      <c r="F19" s="23"/>
      <c r="G19" s="23"/>
    </row>
    <row r="20" spans="1:15" ht="16">
      <c r="A20" s="24">
        <v>23</v>
      </c>
      <c r="B20" s="40">
        <v>1.57</v>
      </c>
      <c r="C20" s="41">
        <f t="shared" si="0"/>
        <v>9.000000000000008E-2</v>
      </c>
      <c r="D20" s="23"/>
      <c r="E20" s="23"/>
      <c r="F20" s="23"/>
      <c r="G20" s="23"/>
    </row>
    <row r="21" spans="1:15" ht="16">
      <c r="A21" s="24">
        <v>24</v>
      </c>
      <c r="B21" s="40">
        <v>1.98</v>
      </c>
      <c r="C21" s="41">
        <f t="shared" si="0"/>
        <v>0.40999999999999992</v>
      </c>
      <c r="D21" s="23"/>
      <c r="E21" s="23"/>
      <c r="F21" s="23"/>
      <c r="G21" s="23"/>
    </row>
    <row r="22" spans="1:15" ht="16">
      <c r="A22" s="24">
        <v>25</v>
      </c>
      <c r="B22" s="40">
        <v>7.1</v>
      </c>
      <c r="C22" s="41">
        <f t="shared" si="0"/>
        <v>5.1199999999999992</v>
      </c>
      <c r="D22" s="23"/>
      <c r="E22" s="23"/>
      <c r="F22" s="23"/>
      <c r="G22" s="23"/>
    </row>
    <row r="23" spans="1:15" ht="16">
      <c r="A23" s="24">
        <v>26</v>
      </c>
      <c r="B23" s="40">
        <v>10.78</v>
      </c>
      <c r="C23" s="41">
        <f t="shared" si="0"/>
        <v>3.6799999999999997</v>
      </c>
      <c r="D23" s="23"/>
      <c r="E23" s="23"/>
      <c r="F23" s="23"/>
      <c r="G23" s="23"/>
      <c r="O23" s="66" t="s">
        <v>53</v>
      </c>
    </row>
    <row r="24" spans="1:15" ht="16">
      <c r="A24" s="24">
        <v>28</v>
      </c>
      <c r="B24" s="40">
        <v>11.58</v>
      </c>
      <c r="C24" s="41">
        <f t="shared" si="0"/>
        <v>0.40000000000000036</v>
      </c>
      <c r="D24" s="23"/>
      <c r="E24" s="23"/>
      <c r="F24" s="23"/>
      <c r="G24" s="23"/>
    </row>
    <row r="25" spans="1:15" ht="16">
      <c r="A25" s="24">
        <v>30</v>
      </c>
      <c r="B25" s="40">
        <v>11.78</v>
      </c>
      <c r="C25" s="41">
        <f t="shared" si="0"/>
        <v>9.9999999999999645E-2</v>
      </c>
      <c r="D25" s="23"/>
      <c r="E25" s="23"/>
      <c r="F25" s="23"/>
      <c r="G25" s="23"/>
    </row>
    <row r="26" spans="1:15" ht="16">
      <c r="A26" s="24">
        <v>32</v>
      </c>
      <c r="B26" s="40">
        <v>11.84</v>
      </c>
      <c r="C26" s="41">
        <f t="shared" si="0"/>
        <v>3.0000000000000249E-2</v>
      </c>
      <c r="D26" s="23"/>
      <c r="E26" s="23"/>
      <c r="F26" s="23"/>
      <c r="G26" s="23"/>
    </row>
    <row r="27" spans="1:15" ht="16">
      <c r="A27" s="24">
        <v>34</v>
      </c>
      <c r="B27" s="40">
        <v>11.86</v>
      </c>
      <c r="C27" s="41">
        <f t="shared" si="0"/>
        <v>9.9999999999997868E-3</v>
      </c>
      <c r="D27" s="23"/>
      <c r="E27" s="23"/>
      <c r="F27" s="23"/>
      <c r="G27" s="23"/>
    </row>
    <row r="28" spans="1:15" ht="16">
      <c r="A28" s="24">
        <v>36</v>
      </c>
      <c r="B28" s="40">
        <v>11.88</v>
      </c>
      <c r="C28" s="41">
        <f t="shared" si="0"/>
        <v>1.0000000000000675E-2</v>
      </c>
      <c r="D28" s="23"/>
      <c r="E28" s="23"/>
      <c r="F28" s="23"/>
      <c r="G28" s="23"/>
    </row>
    <row r="30" spans="1:15">
      <c r="A30" s="10"/>
      <c r="B30" s="7"/>
      <c r="C30" s="8"/>
    </row>
    <row r="31" spans="1:15">
      <c r="A31" s="9"/>
      <c r="B31" s="9"/>
      <c r="C31" s="9"/>
    </row>
    <row r="32" spans="1:15">
      <c r="A32" s="9"/>
      <c r="B32" s="9"/>
      <c r="C32" s="9"/>
    </row>
    <row r="33" spans="1:3">
      <c r="A33" s="9"/>
      <c r="B33" s="9"/>
      <c r="C33" s="9"/>
    </row>
    <row r="34" spans="1:3">
      <c r="A34" s="9"/>
      <c r="B34" s="9"/>
      <c r="C34" s="9"/>
    </row>
    <row r="35" spans="1:3">
      <c r="A35" s="9"/>
      <c r="B35" s="9"/>
      <c r="C35" s="9"/>
    </row>
    <row r="36" spans="1:3">
      <c r="A36" s="9"/>
      <c r="B36" s="9"/>
      <c r="C36" s="9"/>
    </row>
    <row r="37" spans="1:3">
      <c r="A37" s="9"/>
      <c r="B37" s="9"/>
      <c r="C37" s="9"/>
    </row>
    <row r="38" spans="1:3">
      <c r="A38" s="9"/>
      <c r="B38" s="9"/>
      <c r="C38" s="9"/>
    </row>
  </sheetData>
  <mergeCells count="5">
    <mergeCell ref="O3:O4"/>
    <mergeCell ref="A3:J5"/>
    <mergeCell ref="E7:G7"/>
    <mergeCell ref="E9:F9"/>
    <mergeCell ref="E11:F1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1- Stability Testing</vt:lpstr>
      <vt:lpstr>2- Glucose Levels</vt:lpstr>
      <vt:lpstr>3-Mice </vt:lpstr>
      <vt:lpstr>4-Haemoglobin</vt:lpstr>
      <vt:lpstr>5-Linearity Range</vt:lpstr>
      <vt:lpstr>6. Acid Base Reactions</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Kathleen</dc:creator>
  <cp:keywords/>
  <dc:description/>
  <cp:lastModifiedBy>Mairead Meagher</cp:lastModifiedBy>
  <cp:revision/>
  <dcterms:created xsi:type="dcterms:W3CDTF">2012-08-01T22:19:56Z</dcterms:created>
  <dcterms:modified xsi:type="dcterms:W3CDTF">2025-11-06T10:43:01Z</dcterms:modified>
  <cp:category/>
  <cp:contentStatus/>
</cp:coreProperties>
</file>