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defaultThemeVersion="124226"/>
  <mc:AlternateContent xmlns:mc="http://schemas.openxmlformats.org/markup-compatibility/2006">
    <mc:Choice Requires="x15">
      <x15ac:absPath xmlns:x15ac="http://schemas.microsoft.com/office/spreadsheetml/2010/11/ac" url="/Users/maireadmeagher/Documents/GitRepos/ICT-25/topicxx-wip/excel-test/"/>
    </mc:Choice>
  </mc:AlternateContent>
  <xr:revisionPtr revIDLastSave="0" documentId="13_ncr:1_{3851E730-7BA7-824D-A752-0D16096B5BA3}" xr6:coauthVersionLast="47" xr6:coauthVersionMax="47" xr10:uidLastSave="{00000000-0000-0000-0000-000000000000}"/>
  <bookViews>
    <workbookView xWindow="6220" yWindow="1820" windowWidth="24020" windowHeight="17820" tabRatio="749" xr2:uid="{00000000-000D-0000-FFFF-FFFF00000000}"/>
  </bookViews>
  <sheets>
    <sheet name="1- Stability Testing" sheetId="3" r:id="rId1"/>
    <sheet name="2- Glucose Levels" sheetId="4" r:id="rId2"/>
    <sheet name="3-Mice " sheetId="5" r:id="rId3"/>
    <sheet name="4-Haemoglobin" sheetId="12" r:id="rId4"/>
    <sheet name="5-Linearity Range" sheetId="8" r:id="rId5"/>
    <sheet name="6. Acid Base Reactions" sheetId="16" r:id="rId6"/>
  </sheets>
  <externalReferences>
    <externalReference r:id="rId7"/>
  </externalReferences>
  <definedNames>
    <definedName name="_xlchart.v1.4" hidden="1">'5-Linearity Range'!$A$1:$A$8</definedName>
    <definedName name="_xlchart.v1.5" hidden="1">'5-Linearity Range'!$A$9:$A$25</definedName>
    <definedName name="_xlchart.v1.6" hidden="1">'5-Linearity Range'!$B$1:$B$8</definedName>
    <definedName name="_xlchart.v1.7" hidden="1">'5-Linearity Range'!$B$9:$B$25</definedName>
    <definedName name="_xlchart.v2.0" hidden="1">'5-Linearity Range'!$A$1:$A$8</definedName>
    <definedName name="_xlchart.v2.1" hidden="1">'5-Linearity Range'!$A$9:$A$25</definedName>
    <definedName name="_xlchart.v2.2" hidden="1">'5-Linearity Range'!$B$1:$B$8</definedName>
    <definedName name="_xlchart.v2.3" hidden="1">'5-Linearity Range'!$B$9:$B$25</definedName>
    <definedName name="Hb">[1]Interpol3!$B$3:$B$15</definedName>
    <definedName name="Oxygen">[1]Interpol3!$A$3:$B$15</definedName>
    <definedName name="Pressures">[1]Interpol3!$A$3:$A$15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5" i="3" l="1"/>
  <c r="D6" i="3"/>
  <c r="D7" i="3"/>
  <c r="D8" i="3"/>
  <c r="D9" i="3"/>
  <c r="D10" i="3"/>
  <c r="D11" i="3"/>
  <c r="D12" i="3"/>
  <c r="D13" i="3"/>
  <c r="D14" i="3"/>
  <c r="D15" i="3"/>
  <c r="D16" i="3"/>
  <c r="C10" i="16" l="1"/>
  <c r="C11" i="16"/>
  <c r="C12" i="16"/>
  <c r="C13" i="16"/>
  <c r="C14" i="16"/>
  <c r="C15" i="16"/>
  <c r="C16" i="16"/>
  <c r="C17" i="16"/>
  <c r="C18" i="16"/>
  <c r="C19" i="16"/>
  <c r="C20" i="16"/>
  <c r="C21" i="16"/>
  <c r="C22" i="16"/>
  <c r="C23" i="16"/>
  <c r="C24" i="16"/>
  <c r="C25" i="16"/>
  <c r="C26" i="16"/>
  <c r="C27" i="16"/>
  <c r="C28" i="16"/>
  <c r="C9" i="16"/>
  <c r="E8" i="4"/>
  <c r="E9" i="4"/>
  <c r="E10" i="4"/>
  <c r="E11" i="4"/>
  <c r="E12" i="4"/>
  <c r="E13" i="4"/>
  <c r="E14" i="4"/>
  <c r="E15" i="4"/>
  <c r="E7" i="4"/>
  <c r="C8" i="4"/>
  <c r="C9" i="4"/>
  <c r="C10" i="4"/>
  <c r="C11" i="4"/>
  <c r="C12" i="4"/>
  <c r="C13" i="4"/>
  <c r="C14" i="4"/>
  <c r="C15" i="4"/>
  <c r="C7" i="4"/>
  <c r="L6" i="3"/>
  <c r="M6" i="3"/>
  <c r="N6" i="3"/>
  <c r="O6" i="3"/>
  <c r="P6" i="3"/>
  <c r="L7" i="3"/>
  <c r="M7" i="3"/>
  <c r="N7" i="3"/>
  <c r="O7" i="3"/>
  <c r="P7" i="3"/>
  <c r="L8" i="3"/>
  <c r="M8" i="3"/>
  <c r="N8" i="3"/>
  <c r="O8" i="3"/>
  <c r="P8" i="3"/>
  <c r="L9" i="3"/>
  <c r="M9" i="3"/>
  <c r="N9" i="3"/>
  <c r="O9" i="3"/>
  <c r="P9" i="3"/>
  <c r="L10" i="3"/>
  <c r="M10" i="3"/>
  <c r="N10" i="3"/>
  <c r="O10" i="3"/>
  <c r="P10" i="3"/>
  <c r="L11" i="3"/>
  <c r="M11" i="3"/>
  <c r="N11" i="3"/>
  <c r="O11" i="3"/>
  <c r="P11" i="3"/>
  <c r="L12" i="3"/>
  <c r="M12" i="3"/>
  <c r="N12" i="3"/>
  <c r="O12" i="3"/>
  <c r="P12" i="3"/>
  <c r="L13" i="3"/>
  <c r="M13" i="3"/>
  <c r="N13" i="3"/>
  <c r="O13" i="3"/>
  <c r="P13" i="3"/>
  <c r="L14" i="3"/>
  <c r="M14" i="3"/>
  <c r="N14" i="3"/>
  <c r="O14" i="3"/>
  <c r="P14" i="3"/>
  <c r="L15" i="3"/>
  <c r="M15" i="3"/>
  <c r="N15" i="3"/>
  <c r="O15" i="3"/>
  <c r="P15" i="3"/>
  <c r="L16" i="3"/>
  <c r="M16" i="3"/>
  <c r="N16" i="3"/>
  <c r="O16" i="3"/>
  <c r="P16" i="3"/>
  <c r="M5" i="3"/>
  <c r="N5" i="3"/>
  <c r="O5" i="3"/>
  <c r="P5" i="3"/>
  <c r="L5" i="3"/>
  <c r="E6" i="3"/>
  <c r="F6" i="3"/>
  <c r="G6" i="3"/>
  <c r="H6" i="3"/>
  <c r="E7" i="3"/>
  <c r="F7" i="3"/>
  <c r="G7" i="3"/>
  <c r="H7" i="3"/>
  <c r="E8" i="3"/>
  <c r="F8" i="3"/>
  <c r="G8" i="3"/>
  <c r="H8" i="3"/>
  <c r="E9" i="3"/>
  <c r="F9" i="3"/>
  <c r="G9" i="3"/>
  <c r="H9" i="3"/>
  <c r="E10" i="3"/>
  <c r="F10" i="3"/>
  <c r="G10" i="3"/>
  <c r="H10" i="3"/>
  <c r="E11" i="3"/>
  <c r="F11" i="3"/>
  <c r="G11" i="3"/>
  <c r="H11" i="3"/>
  <c r="E12" i="3"/>
  <c r="F12" i="3"/>
  <c r="G12" i="3"/>
  <c r="H12" i="3"/>
  <c r="E13" i="3"/>
  <c r="F13" i="3"/>
  <c r="G13" i="3"/>
  <c r="H13" i="3"/>
  <c r="E14" i="3"/>
  <c r="F14" i="3"/>
  <c r="G14" i="3"/>
  <c r="H14" i="3"/>
  <c r="E15" i="3"/>
  <c r="F15" i="3"/>
  <c r="G15" i="3"/>
  <c r="H15" i="3"/>
  <c r="E16" i="3"/>
  <c r="F16" i="3"/>
  <c r="G16" i="3"/>
  <c r="H16" i="3"/>
  <c r="E5" i="3"/>
  <c r="F5" i="3"/>
  <c r="G5" i="3"/>
  <c r="H5" i="3"/>
</calcChain>
</file>

<file path=xl/sharedStrings.xml><?xml version="1.0" encoding="utf-8"?>
<sst xmlns="http://schemas.openxmlformats.org/spreadsheetml/2006/main" count="62" uniqueCount="59">
  <si>
    <t>Sample Size Determination for Stability Testing on a New Pharmaceutical Product (at 95% &amp; 90% CI)</t>
  </si>
  <si>
    <t>margin/mean</t>
  </si>
  <si>
    <t>SD/mean</t>
  </si>
  <si>
    <r>
      <t xml:space="preserve">Monitoring of Glucose Levels of Identical Cultures of </t>
    </r>
    <r>
      <rPr>
        <b/>
        <u/>
        <sz val="14"/>
        <color rgb="FF0070C0"/>
        <rFont val="Arial"/>
        <family val="2"/>
      </rPr>
      <t>Escherichia Coli</t>
    </r>
    <r>
      <rPr>
        <b/>
        <sz val="14"/>
        <color rgb="FF0070C0"/>
        <rFont val="Arial"/>
        <family val="2"/>
      </rPr>
      <t xml:space="preserve"> with Additions of Lactose</t>
    </r>
  </si>
  <si>
    <t>Start</t>
  </si>
  <si>
    <t>End</t>
  </si>
  <si>
    <t>Time lapse</t>
  </si>
  <si>
    <t>[Glucose] (mol/l)</t>
  </si>
  <si>
    <t>[Glucose] (mol/min)</t>
  </si>
  <si>
    <t>Activities of 10 Mice in 2 Different Cages</t>
  </si>
  <si>
    <t>Sleep</t>
  </si>
  <si>
    <t>Eat</t>
  </si>
  <si>
    <t>Run</t>
  </si>
  <si>
    <t>Cage A</t>
  </si>
  <si>
    <t>Cage B</t>
  </si>
  <si>
    <t>Relationship Between Haemoglobin Percentage and the Erythrocyte Cell Count of Human Blood</t>
  </si>
  <si>
    <t>Hb%</t>
  </si>
  <si>
    <t>RBC Count</t>
  </si>
  <si>
    <t>Spectrophotometric Linearity Range for a New Pharmaceutical Formulation</t>
  </si>
  <si>
    <r>
      <t>Concentration</t>
    </r>
    <r>
      <rPr>
        <b/>
        <vertAlign val="subscript"/>
        <sz val="12"/>
        <color theme="5"/>
        <rFont val="Arial"/>
        <family val="2"/>
      </rPr>
      <t xml:space="preserve"> </t>
    </r>
    <r>
      <rPr>
        <b/>
        <sz val="12"/>
        <color theme="5"/>
        <rFont val="Arial"/>
        <family val="2"/>
      </rPr>
      <t>(M)</t>
    </r>
  </si>
  <si>
    <t>Absorption</t>
  </si>
  <si>
    <t>pH Titration Curves and 1st Derivative Plots for Acid-Base Reactions</t>
  </si>
  <si>
    <r>
      <t>V</t>
    </r>
    <r>
      <rPr>
        <b/>
        <i/>
        <vertAlign val="subscript"/>
        <sz val="11"/>
        <color theme="1"/>
        <rFont val="Calibri"/>
        <family val="2"/>
        <scheme val="minor"/>
      </rPr>
      <t>B</t>
    </r>
    <r>
      <rPr>
        <b/>
        <i/>
        <sz val="11"/>
        <color theme="1"/>
        <rFont val="Calibri"/>
        <family val="2"/>
        <scheme val="minor"/>
      </rPr>
      <t xml:space="preserve"> (cm</t>
    </r>
    <r>
      <rPr>
        <b/>
        <i/>
        <vertAlign val="superscript"/>
        <sz val="11"/>
        <color theme="1"/>
        <rFont val="Calibri"/>
        <family val="2"/>
        <scheme val="minor"/>
      </rPr>
      <t>3</t>
    </r>
    <r>
      <rPr>
        <b/>
        <i/>
        <sz val="11"/>
        <color theme="1"/>
        <rFont val="Calibri"/>
        <family val="2"/>
        <scheme val="minor"/>
      </rPr>
      <t xml:space="preserve">) = (Volume of base (0.1M NaOH) added to the acid). </t>
    </r>
    <r>
      <rPr>
        <b/>
        <i/>
        <u/>
        <sz val="11"/>
        <color theme="1"/>
        <rFont val="Calibri"/>
        <family val="2"/>
        <scheme val="minor"/>
      </rPr>
      <t>Note:</t>
    </r>
    <r>
      <rPr>
        <b/>
        <i/>
        <sz val="11"/>
        <color theme="1"/>
        <rFont val="Calibri"/>
        <family val="2"/>
        <scheme val="minor"/>
      </rPr>
      <t xml:space="preserve"> The base was added slowly to a beaker containing 25 cm</t>
    </r>
    <r>
      <rPr>
        <b/>
        <i/>
        <vertAlign val="superscript"/>
        <sz val="11"/>
        <color theme="1"/>
        <rFont val="Calibri"/>
        <family val="2"/>
        <scheme val="minor"/>
      </rPr>
      <t xml:space="preserve">3 </t>
    </r>
    <r>
      <rPr>
        <b/>
        <i/>
        <sz val="11"/>
        <color theme="1"/>
        <rFont val="Calibri"/>
        <family val="2"/>
        <scheme val="minor"/>
      </rPr>
      <t>0.1M HCl. The pH of the solution was recorded after each addition.</t>
    </r>
  </si>
  <si>
    <r>
      <t>V</t>
    </r>
    <r>
      <rPr>
        <b/>
        <vertAlign val="subscript"/>
        <sz val="12"/>
        <color theme="1"/>
        <rFont val="Calibri"/>
        <family val="2"/>
        <scheme val="minor"/>
      </rPr>
      <t>B</t>
    </r>
    <r>
      <rPr>
        <b/>
        <sz val="12"/>
        <color theme="1"/>
        <rFont val="Calibri"/>
        <family val="2"/>
        <scheme val="minor"/>
      </rPr>
      <t xml:space="preserve"> (cm</t>
    </r>
    <r>
      <rPr>
        <b/>
        <vertAlign val="superscript"/>
        <sz val="12"/>
        <color theme="1"/>
        <rFont val="Calibri"/>
        <family val="2"/>
        <scheme val="minor"/>
      </rPr>
      <t>3</t>
    </r>
    <r>
      <rPr>
        <b/>
        <sz val="12"/>
        <color theme="1"/>
        <rFont val="Calibri"/>
        <family val="2"/>
        <scheme val="minor"/>
      </rPr>
      <t>)</t>
    </r>
  </si>
  <si>
    <t>pH</t>
  </si>
  <si>
    <t>∆pH/∆V</t>
  </si>
  <si>
    <t>Equivalence Point Determination</t>
  </si>
  <si>
    <r>
      <t>pH vs V</t>
    </r>
    <r>
      <rPr>
        <b/>
        <vertAlign val="subscript"/>
        <sz val="12"/>
        <color theme="1"/>
        <rFont val="Calibri"/>
        <family val="2"/>
        <scheme val="minor"/>
      </rPr>
      <t>B</t>
    </r>
  </si>
  <si>
    <r>
      <t>(∆pH/∆V) vs V</t>
    </r>
    <r>
      <rPr>
        <b/>
        <vertAlign val="subscript"/>
        <sz val="12"/>
        <color theme="1"/>
        <rFont val="Calibri"/>
        <family val="2"/>
        <scheme val="minor"/>
      </rPr>
      <t>B</t>
    </r>
  </si>
  <si>
    <t xml:space="preserve">1. Calculate time lapse in colums (difference between start and end time) </t>
  </si>
  <si>
    <t xml:space="preserve">2. Calculate Glucose (Mol/minute) </t>
  </si>
  <si>
    <t xml:space="preserve">(First row value hardcoded for you to check your formula) </t>
  </si>
  <si>
    <t xml:space="preserve">(first row value hardcoded for you to check) </t>
  </si>
  <si>
    <t xml:space="preserve">   label the axes and title the graph</t>
  </si>
  <si>
    <t xml:space="preserve">3. Insert a line graph for Glucose(mol/min)(Y axos)  vs timelapse (X axis) </t>
  </si>
  <si>
    <t xml:space="preserve">4. Insert line chart with markers. (same x, y axes) </t>
  </si>
  <si>
    <t xml:space="preserve">Change the axes limits  - x -&gt; should </t>
  </si>
  <si>
    <t xml:space="preserve">Produce the following graph: </t>
  </si>
  <si>
    <t>ToDo: Insert a graph that suitably demonstrates the data</t>
  </si>
  <si>
    <t>ToDo</t>
  </si>
  <si>
    <t xml:space="preserve">Produce these two graphs: </t>
  </si>
  <si>
    <r>
      <t>1.</t>
    </r>
    <r>
      <rPr>
        <sz val="7"/>
        <color rgb="FF000000"/>
        <rFont val="Times New Roman"/>
        <family val="1"/>
      </rPr>
      <t xml:space="preserve">     </t>
    </r>
    <r>
      <rPr>
        <sz val="11"/>
        <color rgb="FF000000"/>
        <rFont val="Calibri"/>
        <family val="2"/>
        <scheme val="minor"/>
      </rPr>
      <t>In cell C9 enter a formula to calculate ∆pH/∆V</t>
    </r>
  </si>
  <si>
    <r>
      <t>2.</t>
    </r>
    <r>
      <rPr>
        <sz val="7"/>
        <color rgb="FF000000"/>
        <rFont val="Times New Roman"/>
        <family val="1"/>
      </rPr>
      <t xml:space="preserve">     </t>
    </r>
    <r>
      <rPr>
        <sz val="11"/>
        <color rgb="FF000000"/>
        <rFont val="Calibri"/>
        <family val="2"/>
        <scheme val="minor"/>
      </rPr>
      <t>Plot an XY scatter chart with smooth lines of pH versus V</t>
    </r>
    <r>
      <rPr>
        <vertAlign val="subscript"/>
        <sz val="11"/>
        <color rgb="FF000000"/>
        <rFont val="Calibri"/>
        <family val="2"/>
        <scheme val="minor"/>
      </rPr>
      <t>B</t>
    </r>
    <r>
      <rPr>
        <sz val="11"/>
        <color rgb="FF000000"/>
        <rFont val="Calibri"/>
        <family val="2"/>
        <scheme val="minor"/>
      </rPr>
      <t xml:space="preserve"> (cm</t>
    </r>
    <r>
      <rPr>
        <vertAlign val="superscript"/>
        <sz val="11"/>
        <color rgb="FF000000"/>
        <rFont val="Calibri"/>
        <family val="2"/>
        <scheme val="minor"/>
      </rPr>
      <t>3</t>
    </r>
    <r>
      <rPr>
        <sz val="11"/>
        <color rgb="FF000000"/>
        <rFont val="Calibri"/>
        <family val="2"/>
        <scheme val="minor"/>
      </rPr>
      <t xml:space="preserve">) - </t>
    </r>
    <r>
      <rPr>
        <i/>
        <sz val="11"/>
        <color rgb="FF000000"/>
        <rFont val="Calibri"/>
        <family val="2"/>
        <scheme val="minor"/>
      </rPr>
      <t>(volume of base added (cm</t>
    </r>
    <r>
      <rPr>
        <i/>
        <vertAlign val="superscript"/>
        <sz val="11"/>
        <color rgb="FF000000"/>
        <rFont val="Calibri"/>
        <family val="2"/>
        <scheme val="minor"/>
      </rPr>
      <t>3</t>
    </r>
    <r>
      <rPr>
        <i/>
        <sz val="11"/>
        <color rgb="FF000000"/>
        <rFont val="Calibri"/>
        <family val="2"/>
        <scheme val="minor"/>
      </rPr>
      <t>))</t>
    </r>
    <r>
      <rPr>
        <sz val="11"/>
        <color rgb="FF000000"/>
        <rFont val="Calibri"/>
        <family val="2"/>
        <scheme val="minor"/>
      </rPr>
      <t xml:space="preserve">. </t>
    </r>
  </si>
  <si>
    <r>
      <t>3.</t>
    </r>
    <r>
      <rPr>
        <sz val="7"/>
        <color rgb="FF000000"/>
        <rFont val="Times New Roman"/>
        <family val="1"/>
      </rPr>
      <t xml:space="preserve">     </t>
    </r>
    <r>
      <rPr>
        <sz val="11"/>
        <color rgb="FF000000"/>
        <rFont val="Calibri"/>
        <family val="2"/>
        <scheme val="minor"/>
      </rPr>
      <t>Insert the correct axis labels.</t>
    </r>
  </si>
  <si>
    <r>
      <t>4.</t>
    </r>
    <r>
      <rPr>
        <sz val="7"/>
        <color rgb="FF000000"/>
        <rFont val="Times New Roman"/>
        <family val="1"/>
      </rPr>
      <t xml:space="preserve">     </t>
    </r>
    <r>
      <rPr>
        <sz val="11"/>
        <color rgb="FF000000"/>
        <rFont val="Calibri"/>
        <family val="2"/>
        <scheme val="minor"/>
      </rPr>
      <t>Insert the following chart title: “The pH Titration Curve of a Strong Acid (HCl) with a Strong Base (NaOH)”</t>
    </r>
  </si>
  <si>
    <r>
      <t>5.</t>
    </r>
    <r>
      <rPr>
        <sz val="7"/>
        <color rgb="FF000000"/>
        <rFont val="Times New Roman"/>
        <family val="1"/>
      </rPr>
      <t xml:space="preserve">     </t>
    </r>
    <r>
      <rPr>
        <sz val="11"/>
        <color rgb="FF000000"/>
        <rFont val="Calibri"/>
        <family val="2"/>
        <scheme val="minor"/>
      </rPr>
      <t>Determine the equivalence point using arrows to display this on the graph.</t>
    </r>
  </si>
  <si>
    <r>
      <t>7.</t>
    </r>
    <r>
      <rPr>
        <sz val="7"/>
        <color rgb="FF000000"/>
        <rFont val="Times New Roman"/>
        <family val="1"/>
      </rPr>
      <t xml:space="preserve">     </t>
    </r>
    <r>
      <rPr>
        <sz val="11"/>
        <color rgb="FF000000"/>
        <rFont val="Calibri"/>
        <family val="2"/>
        <scheme val="minor"/>
      </rPr>
      <t>Insert the correct axis labels.</t>
    </r>
  </si>
  <si>
    <r>
      <t>8.</t>
    </r>
    <r>
      <rPr>
        <sz val="7"/>
        <color rgb="FF000000"/>
        <rFont val="Times New Roman"/>
        <family val="1"/>
      </rPr>
      <t xml:space="preserve">     </t>
    </r>
    <r>
      <rPr>
        <sz val="11"/>
        <color rgb="FF000000"/>
        <rFont val="Calibri"/>
        <family val="2"/>
        <scheme val="minor"/>
      </rPr>
      <t>Insert the following chart title: “1</t>
    </r>
    <r>
      <rPr>
        <vertAlign val="superscript"/>
        <sz val="11"/>
        <color rgb="FF000000"/>
        <rFont val="Calibri"/>
        <family val="2"/>
        <scheme val="minor"/>
      </rPr>
      <t>st</t>
    </r>
    <r>
      <rPr>
        <sz val="11"/>
        <color rgb="FF000000"/>
        <rFont val="Calibri"/>
        <family val="2"/>
        <scheme val="minor"/>
      </rPr>
      <t xml:space="preserve"> Derivative Plot of a Strong Acid (HCl) with a Strong Base (NaOH)”</t>
    </r>
  </si>
  <si>
    <r>
      <t>9.</t>
    </r>
    <r>
      <rPr>
        <sz val="7"/>
        <color rgb="FF000000"/>
        <rFont val="Times New Roman"/>
        <family val="1"/>
      </rPr>
      <t xml:space="preserve">     </t>
    </r>
    <r>
      <rPr>
        <sz val="11"/>
        <color rgb="FF000000"/>
        <rFont val="Calibri"/>
        <family val="2"/>
        <scheme val="minor"/>
      </rPr>
      <t>Determine the equivalence point using arrows to display this on the graph.</t>
    </r>
  </si>
  <si>
    <r>
      <t>10.</t>
    </r>
    <r>
      <rPr>
        <sz val="7"/>
        <color rgb="FF000000"/>
        <rFont val="Times New Roman"/>
        <family val="1"/>
      </rPr>
      <t xml:space="preserve">  </t>
    </r>
    <r>
      <rPr>
        <sz val="11"/>
        <color rgb="FF000000"/>
        <rFont val="Calibri"/>
        <family val="2"/>
        <scheme val="minor"/>
      </rPr>
      <t xml:space="preserve">In cells G9 and G11 type in the equivalence points (i.e. volume of base required for the </t>
    </r>
  </si>
  <si>
    <t>neutralisation of the hydrochloric acid) determined from the pH Titration Curve and the 1st Derivative Plot.</t>
  </si>
  <si>
    <t>Instructions</t>
  </si>
  <si>
    <t>video here : https://youtu.be/KkG-Wzdhuwg?si=JABQoxwwzK53gkno</t>
  </si>
  <si>
    <t>video here: https://youtu.be/WqC3o5KXvtc?si=f2Eo2k5KoRt06ZX-</t>
  </si>
  <si>
    <t>video here: https://youtu.be/m-z1RYoveQc?si=u3u_G0NitBu1kO0M</t>
  </si>
  <si>
    <t>video here: https://youtu.be/aGmTs3mxZgQ?si=StC09phQh3t-Mqyk</t>
  </si>
  <si>
    <t>video here: https://youtu.be/kgPNYMT8CrA?si=XCBi3pwesD9CxhfG</t>
  </si>
  <si>
    <t>Instructions: Calculate the values above using absolute references when appropriate</t>
  </si>
  <si>
    <r>
      <t>6.</t>
    </r>
    <r>
      <rPr>
        <sz val="7"/>
        <color rgb="FF000000"/>
        <rFont val="Times New Roman"/>
        <family val="1"/>
      </rPr>
      <t xml:space="preserve">     </t>
    </r>
    <r>
      <rPr>
        <i/>
        <sz val="11"/>
        <color rgb="FF000000"/>
        <rFont val="Calibri"/>
        <family val="2"/>
        <scheme val="minor"/>
      </rPr>
      <t xml:space="preserve">Plot an </t>
    </r>
    <r>
      <rPr>
        <sz val="11"/>
        <color rgb="FF000000"/>
        <rFont val="Calibri"/>
        <family val="2"/>
        <scheme val="minor"/>
      </rPr>
      <t>XY scatter chart with smooth lines of Volume (V</t>
    </r>
    <r>
      <rPr>
        <vertAlign val="subscript"/>
        <sz val="11"/>
        <color rgb="FF000000"/>
        <rFont val="Calibri (Body)"/>
      </rPr>
      <t>B</t>
    </r>
    <r>
      <rPr>
        <sz val="11"/>
        <color rgb="FF000000"/>
        <rFont val="Calibri"/>
        <family val="2"/>
        <scheme val="minor"/>
      </rPr>
      <t xml:space="preserve"> (cm3)) versus ∆pH/∆V.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</si>
</sst>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quot;$&quot;* #,##0.00_);_(&quot;$&quot;* \(#,##0.00\);_(&quot;$&quot;* &quot;-&quot;??_);_(@_)"/>
    <numFmt numFmtId="165" formatCode="###0.00_)"/>
    <numFmt numFmtId="166" formatCode="#,##0_)"/>
    <numFmt numFmtId="167" formatCode="0.000"/>
    <numFmt numFmtId="168" formatCode="0.0"/>
  </numFmts>
  <fonts count="51">
    <font>
      <sz val="11"/>
      <color theme="1"/>
      <name val="Calibri"/>
      <family val="2"/>
      <scheme val="minor"/>
    </font>
    <font>
      <sz val="10"/>
      <name val="Arial"/>
      <family val="2"/>
    </font>
    <font>
      <b/>
      <sz val="12"/>
      <name val="Arial"/>
      <family val="2"/>
    </font>
    <font>
      <sz val="11"/>
      <color indexed="8"/>
      <name val="Calibri"/>
      <family val="2"/>
    </font>
    <font>
      <sz val="11"/>
      <color indexed="9"/>
      <name val="Calibri"/>
      <family val="2"/>
    </font>
    <font>
      <sz val="12"/>
      <name val="Helv"/>
    </font>
    <font>
      <b/>
      <sz val="12"/>
      <name val="Helv"/>
    </font>
    <font>
      <sz val="10"/>
      <name val="Helv"/>
    </font>
    <font>
      <sz val="9"/>
      <name val="Helv"/>
    </font>
    <font>
      <vertAlign val="superscript"/>
      <sz val="12"/>
      <name val="Helv"/>
    </font>
    <font>
      <b/>
      <sz val="11"/>
      <color indexed="8"/>
      <name val="Calibri"/>
      <family val="2"/>
    </font>
    <font>
      <b/>
      <sz val="10"/>
      <name val="Helv"/>
    </font>
    <font>
      <b/>
      <sz val="9"/>
      <name val="Helv"/>
    </font>
    <font>
      <sz val="8.5"/>
      <name val="Helv"/>
    </font>
    <font>
      <sz val="10"/>
      <name val="Arial"/>
      <family val="2"/>
    </font>
    <font>
      <b/>
      <sz val="18"/>
      <color indexed="62"/>
      <name val="Cambria"/>
      <family val="2"/>
    </font>
    <font>
      <sz val="8"/>
      <name val="Helv"/>
    </font>
    <font>
      <b/>
      <sz val="14"/>
      <name val="Helv"/>
    </font>
    <font>
      <b/>
      <sz val="10"/>
      <name val="Arial"/>
      <family val="2"/>
    </font>
    <font>
      <sz val="12"/>
      <color theme="1"/>
      <name val="Arial"/>
      <family val="2"/>
    </font>
    <font>
      <b/>
      <sz val="12"/>
      <color theme="1"/>
      <name val="Arial"/>
      <family val="2"/>
    </font>
    <font>
      <b/>
      <i/>
      <sz val="10"/>
      <color theme="3"/>
      <name val="Arial"/>
      <family val="2"/>
    </font>
    <font>
      <b/>
      <sz val="10"/>
      <color theme="1"/>
      <name val="Arial"/>
      <family val="2"/>
    </font>
    <font>
      <b/>
      <i/>
      <sz val="11"/>
      <color theme="1"/>
      <name val="Calibri"/>
      <family val="2"/>
      <scheme val="minor"/>
    </font>
    <font>
      <b/>
      <i/>
      <vertAlign val="subscript"/>
      <sz val="11"/>
      <color theme="1"/>
      <name val="Calibri"/>
      <family val="2"/>
      <scheme val="minor"/>
    </font>
    <font>
      <b/>
      <i/>
      <vertAlign val="superscript"/>
      <sz val="11"/>
      <color theme="1"/>
      <name val="Calibri"/>
      <family val="2"/>
      <scheme val="minor"/>
    </font>
    <font>
      <b/>
      <i/>
      <u/>
      <sz val="11"/>
      <color theme="1"/>
      <name val="Calibri"/>
      <family val="2"/>
      <scheme val="minor"/>
    </font>
    <font>
      <sz val="11"/>
      <name val="Arial"/>
      <family val="2"/>
    </font>
    <font>
      <b/>
      <sz val="12"/>
      <color theme="1"/>
      <name val="Calibri"/>
      <family val="2"/>
      <scheme val="minor"/>
    </font>
    <font>
      <b/>
      <sz val="12"/>
      <color rgb="FF0070C0"/>
      <name val="Arial"/>
      <family val="2"/>
    </font>
    <font>
      <b/>
      <sz val="14"/>
      <color rgb="FF0070C0"/>
      <name val="Arial"/>
      <family val="2"/>
    </font>
    <font>
      <b/>
      <sz val="12"/>
      <color theme="5"/>
      <name val="Arial"/>
      <family val="2"/>
    </font>
    <font>
      <b/>
      <sz val="11"/>
      <name val="Arial"/>
      <family val="2"/>
    </font>
    <font>
      <b/>
      <sz val="12"/>
      <color rgb="FFFF0000"/>
      <name val="Arial"/>
      <family val="2"/>
    </font>
    <font>
      <sz val="12"/>
      <name val="Arial"/>
      <family val="2"/>
    </font>
    <font>
      <sz val="12"/>
      <color theme="1"/>
      <name val="Calibri"/>
      <family val="2"/>
      <scheme val="minor"/>
    </font>
    <font>
      <b/>
      <u/>
      <sz val="14"/>
      <color rgb="FF0070C0"/>
      <name val="Arial"/>
      <family val="2"/>
    </font>
    <font>
      <b/>
      <vertAlign val="subscript"/>
      <sz val="12"/>
      <color theme="5"/>
      <name val="Arial"/>
      <family val="2"/>
    </font>
    <font>
      <b/>
      <vertAlign val="subscript"/>
      <sz val="12"/>
      <color theme="1"/>
      <name val="Calibri"/>
      <family val="2"/>
      <scheme val="minor"/>
    </font>
    <font>
      <b/>
      <vertAlign val="superscript"/>
      <sz val="12"/>
      <color theme="1"/>
      <name val="Calibri"/>
      <family val="2"/>
      <scheme val="minor"/>
    </font>
    <font>
      <b/>
      <sz val="12"/>
      <color theme="1"/>
      <name val="Calibri"/>
      <family val="2"/>
    </font>
    <font>
      <sz val="12"/>
      <color rgb="FFFF0000"/>
      <name val="Arial"/>
      <family val="2"/>
    </font>
    <font>
      <sz val="11"/>
      <color rgb="FF000000"/>
      <name val="Calibri"/>
      <family val="2"/>
      <scheme val="minor"/>
    </font>
    <font>
      <sz val="7"/>
      <color rgb="FF000000"/>
      <name val="Times New Roman"/>
      <family val="1"/>
    </font>
    <font>
      <vertAlign val="subscript"/>
      <sz val="11"/>
      <color rgb="FF000000"/>
      <name val="Calibri"/>
      <family val="2"/>
      <scheme val="minor"/>
    </font>
    <font>
      <vertAlign val="superscript"/>
      <sz val="11"/>
      <color rgb="FF000000"/>
      <name val="Calibri"/>
      <family val="2"/>
      <scheme val="minor"/>
    </font>
    <font>
      <i/>
      <sz val="11"/>
      <color rgb="FF000000"/>
      <name val="Calibri"/>
      <family val="2"/>
      <scheme val="minor"/>
    </font>
    <font>
      <i/>
      <vertAlign val="superscript"/>
      <sz val="11"/>
      <color rgb="FF000000"/>
      <name val="Calibri"/>
      <family val="2"/>
      <scheme val="minor"/>
    </font>
    <font>
      <sz val="16"/>
      <color theme="1"/>
      <name val="Calibri (Body)"/>
    </font>
    <font>
      <b/>
      <sz val="11"/>
      <color theme="1"/>
      <name val="Calibri"/>
      <family val="2"/>
      <scheme val="minor"/>
    </font>
    <font>
      <vertAlign val="subscript"/>
      <sz val="11"/>
      <color rgb="FF000000"/>
      <name val="Calibri (Body)"/>
    </font>
  </fonts>
  <fills count="24">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9"/>
      </patternFill>
    </fill>
    <fill>
      <patternFill patternType="solid">
        <fgColor indexed="22"/>
        <bgColor indexed="55"/>
      </patternFill>
    </fill>
    <fill>
      <patternFill patternType="solid">
        <fgColor theme="3"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C1F0C8"/>
        <bgColor rgb="FF000000"/>
      </patternFill>
    </fill>
  </fills>
  <borders count="11">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thin">
        <color indexed="22"/>
      </bottom>
      <diagonal/>
    </border>
    <border>
      <left/>
      <right/>
      <top/>
      <bottom style="hair">
        <color auto="1"/>
      </bottom>
      <diagonal/>
    </border>
    <border>
      <left/>
      <right/>
      <top/>
      <bottom style="hair">
        <color indexed="8"/>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70">
    <xf numFmtId="0" fontId="0" fillId="0" borderId="0"/>
    <xf numFmtId="0" fontId="1" fillId="0" borderId="0"/>
    <xf numFmtId="0" fontId="3" fillId="5"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4" fillId="9"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4" fillId="8"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4" fillId="8"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4" fillId="12" borderId="0" applyNumberFormat="0" applyBorder="0" applyAlignment="0" applyProtection="0"/>
    <xf numFmtId="0" fontId="5" fillId="0" borderId="0">
      <alignment horizontal="center" vertical="center" wrapText="1"/>
    </xf>
    <xf numFmtId="0" fontId="6" fillId="0" borderId="0">
      <alignment horizontal="left" vertical="center" wrapText="1"/>
    </xf>
    <xf numFmtId="165" fontId="7" fillId="0" borderId="4" applyNumberFormat="0" applyFill="0">
      <alignment horizontal="right"/>
    </xf>
    <xf numFmtId="166" fontId="8" fillId="0" borderId="4">
      <alignment horizontal="right" vertical="center"/>
    </xf>
    <xf numFmtId="49" fontId="9" fillId="0" borderId="4">
      <alignment horizontal="left" vertical="center"/>
    </xf>
    <xf numFmtId="165" fontId="7" fillId="0" borderId="4" applyNumberFormat="0" applyFill="0">
      <alignment horizontal="right"/>
    </xf>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0" borderId="4">
      <alignment horizontal="left"/>
    </xf>
    <xf numFmtId="0" fontId="12" fillId="0" borderId="5">
      <alignment horizontal="right" vertical="center"/>
    </xf>
    <xf numFmtId="0" fontId="13" fillId="0" borderId="4">
      <alignment horizontal="left" vertical="center"/>
    </xf>
    <xf numFmtId="0" fontId="7" fillId="0" borderId="4">
      <alignment horizontal="left" vertical="center"/>
    </xf>
    <xf numFmtId="0" fontId="11" fillId="0" borderId="4">
      <alignment horizontal="left"/>
    </xf>
    <xf numFmtId="0" fontId="11" fillId="16" borderId="0">
      <alignment horizontal="centerContinuous" wrapText="1"/>
    </xf>
    <xf numFmtId="49" fontId="11" fillId="16" borderId="2">
      <alignment horizontal="left" vertical="center"/>
    </xf>
    <xf numFmtId="0" fontId="11" fillId="16" borderId="0">
      <alignment horizontal="centerContinuous" vertical="center" wrapText="1"/>
    </xf>
    <xf numFmtId="0" fontId="14" fillId="0" borderId="0"/>
    <xf numFmtId="3" fontId="8" fillId="0" borderId="0">
      <alignment horizontal="left" vertical="center"/>
    </xf>
    <xf numFmtId="0" fontId="5" fillId="0" borderId="0">
      <alignment horizontal="left" vertical="center"/>
    </xf>
    <xf numFmtId="0" fontId="15" fillId="0" borderId="0" applyNumberFormat="0" applyFill="0" applyBorder="0" applyAlignment="0" applyProtection="0"/>
    <xf numFmtId="0" fontId="16" fillId="0" borderId="0">
      <alignment horizontal="right"/>
    </xf>
    <xf numFmtId="49" fontId="16" fillId="0" borderId="0">
      <alignment horizontal="center"/>
    </xf>
    <xf numFmtId="0" fontId="9" fillId="0" borderId="0">
      <alignment horizontal="right"/>
    </xf>
    <xf numFmtId="0" fontId="16" fillId="0" borderId="0">
      <alignment horizontal="left"/>
    </xf>
    <xf numFmtId="49" fontId="8" fillId="0" borderId="0">
      <alignment horizontal="left" vertical="center"/>
    </xf>
    <xf numFmtId="49" fontId="9" fillId="0" borderId="4">
      <alignment horizontal="left"/>
    </xf>
    <xf numFmtId="165" fontId="8" fillId="0" borderId="0" applyNumberFormat="0">
      <alignment horizontal="right"/>
    </xf>
    <xf numFmtId="0" fontId="12" fillId="17" borderId="0">
      <alignment horizontal="centerContinuous" vertical="center" wrapText="1"/>
    </xf>
    <xf numFmtId="0" fontId="12" fillId="0" borderId="6">
      <alignment horizontal="left" vertical="center"/>
    </xf>
    <xf numFmtId="0" fontId="17" fillId="0" borderId="0">
      <alignment horizontal="left" vertical="top"/>
    </xf>
    <xf numFmtId="0" fontId="11" fillId="0" borderId="0">
      <alignment horizontal="left"/>
    </xf>
    <xf numFmtId="0" fontId="6" fillId="0" borderId="0">
      <alignment horizontal="left"/>
    </xf>
    <xf numFmtId="0" fontId="7" fillId="0" borderId="0">
      <alignment horizontal="left"/>
    </xf>
    <xf numFmtId="0" fontId="17" fillId="0" borderId="0">
      <alignment horizontal="left" vertical="top"/>
    </xf>
    <xf numFmtId="0" fontId="6" fillId="0" borderId="0">
      <alignment horizontal="left"/>
    </xf>
    <xf numFmtId="0" fontId="7" fillId="0" borderId="0">
      <alignment horizontal="left"/>
    </xf>
    <xf numFmtId="49" fontId="8" fillId="0" borderId="4">
      <alignment horizontal="left"/>
    </xf>
    <xf numFmtId="0" fontId="12" fillId="0" borderId="5">
      <alignment horizontal="left"/>
    </xf>
    <xf numFmtId="0" fontId="11" fillId="0" borderId="0">
      <alignment horizontal="left" vertical="center"/>
    </xf>
    <xf numFmtId="49" fontId="16" fillId="0" borderId="4">
      <alignment horizontal="left"/>
    </xf>
    <xf numFmtId="0" fontId="14" fillId="0" borderId="0"/>
    <xf numFmtId="9" fontId="14" fillId="0" borderId="0" applyFont="0" applyFill="0" applyBorder="0" applyAlignment="0" applyProtection="0"/>
    <xf numFmtId="9" fontId="14" fillId="0" borderId="0" applyFont="0" applyFill="0" applyBorder="0" applyAlignment="0" applyProtection="0"/>
    <xf numFmtId="0" fontId="19" fillId="0" borderId="0"/>
    <xf numFmtId="43"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cellStyleXfs>
  <cellXfs count="69">
    <xf numFmtId="0" fontId="0" fillId="0" borderId="0" xfId="0"/>
    <xf numFmtId="0" fontId="18" fillId="0" borderId="0" xfId="37" applyFont="1"/>
    <xf numFmtId="0" fontId="20" fillId="0" borderId="0" xfId="64" applyFont="1"/>
    <xf numFmtId="0" fontId="19" fillId="0" borderId="0" xfId="64"/>
    <xf numFmtId="0" fontId="14" fillId="0" borderId="0" xfId="37"/>
    <xf numFmtId="0" fontId="22" fillId="0" borderId="0" xfId="64" applyFont="1"/>
    <xf numFmtId="0" fontId="21" fillId="0" borderId="0" xfId="69" applyFont="1"/>
    <xf numFmtId="2" fontId="0" fillId="0" borderId="0" xfId="0" applyNumberFormat="1"/>
    <xf numFmtId="167" fontId="0" fillId="0" borderId="0" xfId="0" applyNumberFormat="1"/>
    <xf numFmtId="0" fontId="0" fillId="0" borderId="0" xfId="0" applyAlignment="1">
      <alignment wrapText="1"/>
    </xf>
    <xf numFmtId="0" fontId="0" fillId="0" borderId="0" xfId="0" applyAlignment="1">
      <alignment horizontal="center"/>
    </xf>
    <xf numFmtId="0" fontId="31" fillId="0" borderId="3" xfId="37" applyFont="1" applyBorder="1" applyAlignment="1">
      <alignment horizontal="center"/>
    </xf>
    <xf numFmtId="0" fontId="32" fillId="0" borderId="0" xfId="37" applyFont="1" applyAlignment="1">
      <alignment horizontal="center"/>
    </xf>
    <xf numFmtId="1" fontId="27" fillId="4" borderId="3" xfId="37" applyNumberFormat="1" applyFont="1" applyFill="1" applyBorder="1" applyAlignment="1">
      <alignment horizontal="center"/>
    </xf>
    <xf numFmtId="0" fontId="33" fillId="0" borderId="7" xfId="37" applyFont="1" applyBorder="1" applyAlignment="1">
      <alignment horizontal="center"/>
    </xf>
    <xf numFmtId="0" fontId="29" fillId="0" borderId="0" xfId="64" applyFont="1"/>
    <xf numFmtId="0" fontId="2" fillId="0" borderId="3" xfId="37" applyFont="1" applyBorder="1"/>
    <xf numFmtId="0" fontId="34" fillId="0" borderId="3" xfId="37" applyFont="1" applyBorder="1" applyAlignment="1">
      <alignment vertical="center"/>
    </xf>
    <xf numFmtId="0" fontId="34" fillId="0" borderId="3" xfId="37" applyFont="1" applyBorder="1" applyAlignment="1">
      <alignment horizontal="center"/>
    </xf>
    <xf numFmtId="0" fontId="31" fillId="0" borderId="3" xfId="64" applyFont="1" applyBorder="1" applyAlignment="1">
      <alignment horizontal="center"/>
    </xf>
    <xf numFmtId="0" fontId="34" fillId="0" borderId="3" xfId="64" applyFont="1" applyBorder="1" applyAlignment="1">
      <alignment horizontal="center"/>
    </xf>
    <xf numFmtId="168" fontId="34" fillId="0" borderId="3" xfId="64" applyNumberFormat="1" applyFont="1" applyBorder="1" applyAlignment="1">
      <alignment horizontal="center"/>
    </xf>
    <xf numFmtId="0" fontId="35" fillId="0" borderId="0" xfId="0" applyFont="1"/>
    <xf numFmtId="0" fontId="35" fillId="0" borderId="3" xfId="0" applyFont="1" applyBorder="1" applyAlignment="1">
      <alignment horizontal="center"/>
    </xf>
    <xf numFmtId="0" fontId="35" fillId="0" borderId="3" xfId="0" applyFont="1" applyBorder="1"/>
    <xf numFmtId="0" fontId="30" fillId="0" borderId="2" xfId="64" applyFont="1" applyBorder="1" applyAlignment="1">
      <alignment horizontal="center" wrapText="1"/>
    </xf>
    <xf numFmtId="0" fontId="31" fillId="0" borderId="3" xfId="64" applyFont="1" applyBorder="1" applyAlignment="1">
      <alignment horizontal="center" vertical="center"/>
    </xf>
    <xf numFmtId="0" fontId="31" fillId="0" borderId="3" xfId="64" applyFont="1" applyBorder="1" applyAlignment="1">
      <alignment horizontal="center" vertical="center" wrapText="1"/>
    </xf>
    <xf numFmtId="21" fontId="19" fillId="0" borderId="3" xfId="64" applyNumberFormat="1" applyBorder="1" applyAlignment="1">
      <alignment horizontal="center"/>
    </xf>
    <xf numFmtId="0" fontId="19" fillId="0" borderId="3" xfId="64" applyBorder="1" applyAlignment="1">
      <alignment horizontal="center"/>
    </xf>
    <xf numFmtId="0" fontId="30" fillId="0" borderId="2" xfId="37" applyFont="1" applyBorder="1" applyAlignment="1">
      <alignment horizontal="center" wrapText="1"/>
    </xf>
    <xf numFmtId="0" fontId="29" fillId="0" borderId="0" xfId="37" applyFont="1" applyAlignment="1">
      <alignment horizontal="center" vertical="center" wrapText="1"/>
    </xf>
    <xf numFmtId="167" fontId="34" fillId="0" borderId="3" xfId="37" applyNumberFormat="1" applyFont="1" applyBorder="1" applyAlignment="1">
      <alignment horizontal="center"/>
    </xf>
    <xf numFmtId="168" fontId="34" fillId="0" borderId="3" xfId="37" applyNumberFormat="1" applyFont="1" applyBorder="1" applyAlignment="1">
      <alignment horizontal="center"/>
    </xf>
    <xf numFmtId="0" fontId="29" fillId="0" borderId="0" xfId="37" applyFont="1" applyAlignment="1">
      <alignment vertical="center" wrapText="1"/>
    </xf>
    <xf numFmtId="0" fontId="28" fillId="18" borderId="3" xfId="0" applyFont="1" applyFill="1" applyBorder="1" applyAlignment="1">
      <alignment horizontal="center" vertical="center"/>
    </xf>
    <xf numFmtId="0" fontId="40" fillId="18" borderId="3" xfId="0" applyFont="1" applyFill="1" applyBorder="1" applyAlignment="1">
      <alignment horizontal="center" vertical="center"/>
    </xf>
    <xf numFmtId="2" fontId="35" fillId="0" borderId="3" xfId="0" applyNumberFormat="1" applyFont="1" applyBorder="1" applyAlignment="1">
      <alignment horizontal="center"/>
    </xf>
    <xf numFmtId="167" fontId="35" fillId="0" borderId="3" xfId="0" applyNumberFormat="1" applyFont="1" applyBorder="1" applyAlignment="1">
      <alignment horizontal="center"/>
    </xf>
    <xf numFmtId="0" fontId="35" fillId="19" borderId="3" xfId="0" applyFont="1" applyFill="1" applyBorder="1"/>
    <xf numFmtId="0" fontId="28" fillId="0" borderId="3" xfId="0" applyFont="1" applyBorder="1"/>
    <xf numFmtId="0" fontId="30" fillId="0" borderId="3" xfId="69" applyFont="1" applyBorder="1"/>
    <xf numFmtId="0" fontId="32" fillId="3" borderId="3" xfId="37" applyFont="1" applyFill="1" applyBorder="1" applyAlignment="1">
      <alignment horizontal="center"/>
    </xf>
    <xf numFmtId="0" fontId="29" fillId="0" borderId="3" xfId="0" applyFont="1" applyBorder="1" applyAlignment="1">
      <alignment horizontal="center" vertical="center" wrapText="1"/>
    </xf>
    <xf numFmtId="0" fontId="28" fillId="18" borderId="3" xfId="0" applyFont="1" applyFill="1" applyBorder="1" applyAlignment="1">
      <alignment horizontal="center" vertical="center" wrapText="1"/>
    </xf>
    <xf numFmtId="21" fontId="41" fillId="0" borderId="3" xfId="64" applyNumberFormat="1" applyFont="1" applyBorder="1"/>
    <xf numFmtId="0" fontId="42" fillId="21" borderId="3" xfId="0" applyFont="1" applyFill="1" applyBorder="1" applyAlignment="1">
      <alignment horizontal="left" vertical="center" indent="6"/>
    </xf>
    <xf numFmtId="0" fontId="49" fillId="0" borderId="0" xfId="0" applyFont="1"/>
    <xf numFmtId="0" fontId="18" fillId="0" borderId="3" xfId="37" applyFont="1" applyBorder="1"/>
    <xf numFmtId="0" fontId="2" fillId="3" borderId="3" xfId="37" applyFont="1" applyFill="1" applyBorder="1" applyAlignment="1">
      <alignment horizontal="center" vertical="center"/>
    </xf>
    <xf numFmtId="2" fontId="22" fillId="0" borderId="0" xfId="64" applyNumberFormat="1" applyFont="1"/>
    <xf numFmtId="0" fontId="30" fillId="0" borderId="0" xfId="37" applyFont="1" applyAlignment="1">
      <alignment horizontal="center"/>
    </xf>
    <xf numFmtId="0" fontId="18" fillId="22" borderId="0" xfId="37" applyFont="1" applyFill="1" applyAlignment="1">
      <alignment horizontal="center"/>
    </xf>
    <xf numFmtId="0" fontId="32" fillId="3" borderId="3" xfId="37" applyFont="1" applyFill="1" applyBorder="1" applyAlignment="1">
      <alignment horizontal="center"/>
    </xf>
    <xf numFmtId="0" fontId="32" fillId="2" borderId="3" xfId="37" applyFont="1" applyFill="1" applyBorder="1" applyAlignment="1">
      <alignment horizontal="center" vertical="center"/>
    </xf>
    <xf numFmtId="0" fontId="30" fillId="0" borderId="1" xfId="64" applyFont="1" applyBorder="1" applyAlignment="1">
      <alignment horizontal="center" vertical="center" wrapText="1"/>
    </xf>
    <xf numFmtId="0" fontId="30" fillId="0" borderId="0" xfId="64" applyFont="1" applyAlignment="1">
      <alignment horizontal="center" vertical="center" wrapText="1"/>
    </xf>
    <xf numFmtId="0" fontId="30" fillId="0" borderId="2" xfId="64" applyFont="1" applyBorder="1" applyAlignment="1">
      <alignment horizontal="center" vertical="center" wrapText="1"/>
    </xf>
    <xf numFmtId="0" fontId="30" fillId="0" borderId="3" xfId="37" applyFont="1" applyBorder="1" applyAlignment="1">
      <alignment horizontal="center" wrapText="1"/>
    </xf>
    <xf numFmtId="0" fontId="29" fillId="0" borderId="3" xfId="0" applyFont="1" applyBorder="1" applyAlignment="1">
      <alignment horizontal="center" vertical="center" wrapText="1"/>
    </xf>
    <xf numFmtId="0" fontId="30" fillId="0" borderId="3" xfId="37" applyFont="1" applyBorder="1" applyAlignment="1">
      <alignment horizontal="center" vertical="center" wrapText="1"/>
    </xf>
    <xf numFmtId="0" fontId="30" fillId="0" borderId="8" xfId="37" applyFont="1" applyBorder="1" applyAlignment="1">
      <alignment horizontal="center" vertical="center" wrapText="1"/>
    </xf>
    <xf numFmtId="0" fontId="48" fillId="22" borderId="0" xfId="0" applyFont="1" applyFill="1" applyAlignment="1">
      <alignment horizontal="center"/>
    </xf>
    <xf numFmtId="0" fontId="48" fillId="22" borderId="2" xfId="0" applyFont="1" applyFill="1" applyBorder="1" applyAlignment="1">
      <alignment horizontal="center"/>
    </xf>
    <xf numFmtId="0" fontId="23" fillId="20" borderId="3" xfId="0" applyFont="1" applyFill="1" applyBorder="1" applyAlignment="1">
      <alignment horizontal="center" vertical="center" wrapText="1"/>
    </xf>
    <xf numFmtId="0" fontId="28" fillId="18" borderId="3" xfId="0" applyFont="1" applyFill="1" applyBorder="1" applyAlignment="1">
      <alignment horizontal="center" vertical="center" wrapText="1"/>
    </xf>
    <xf numFmtId="0" fontId="28" fillId="0" borderId="3" xfId="0" applyFont="1" applyBorder="1" applyAlignment="1">
      <alignment horizontal="center"/>
    </xf>
    <xf numFmtId="2" fontId="2" fillId="23" borderId="9" xfId="0" applyNumberFormat="1" applyFont="1" applyFill="1" applyBorder="1" applyAlignment="1">
      <alignment horizontal="center" vertical="center"/>
    </xf>
    <xf numFmtId="2" fontId="2" fillId="23" borderId="10" xfId="0" applyNumberFormat="1" applyFont="1" applyFill="1" applyBorder="1" applyAlignment="1">
      <alignment horizontal="center" vertical="center"/>
    </xf>
  </cellXfs>
  <cellStyles count="70">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Column heading" xfId="20" xr:uid="{00000000-0005-0000-0000-000012000000}"/>
    <cellStyle name="Comma 2" xfId="65" xr:uid="{00000000-0005-0000-0000-000013000000}"/>
    <cellStyle name="Corner heading" xfId="21" xr:uid="{00000000-0005-0000-0000-000014000000}"/>
    <cellStyle name="Currency 2" xfId="66" xr:uid="{00000000-0005-0000-0000-000015000000}"/>
    <cellStyle name="Currency 3" xfId="67" xr:uid="{00000000-0005-0000-0000-000016000000}"/>
    <cellStyle name="Data" xfId="22" xr:uid="{00000000-0005-0000-0000-000017000000}"/>
    <cellStyle name="Data no deci" xfId="23" xr:uid="{00000000-0005-0000-0000-000018000000}"/>
    <cellStyle name="Data Superscript" xfId="24" xr:uid="{00000000-0005-0000-0000-000019000000}"/>
    <cellStyle name="Data_1-1A-Regular" xfId="25" xr:uid="{00000000-0005-0000-0000-00001A000000}"/>
    <cellStyle name="Emphasis 1" xfId="26" xr:uid="{00000000-0005-0000-0000-00001B000000}"/>
    <cellStyle name="Emphasis 2" xfId="27" xr:uid="{00000000-0005-0000-0000-00001C000000}"/>
    <cellStyle name="Emphasis 3" xfId="28" xr:uid="{00000000-0005-0000-0000-00001D000000}"/>
    <cellStyle name="Hed Side" xfId="29" xr:uid="{00000000-0005-0000-0000-00001E000000}"/>
    <cellStyle name="Hed Side bold" xfId="30" xr:uid="{00000000-0005-0000-0000-00001F000000}"/>
    <cellStyle name="Hed Side Indent" xfId="31" xr:uid="{00000000-0005-0000-0000-000020000000}"/>
    <cellStyle name="Hed Side Regular" xfId="32" xr:uid="{00000000-0005-0000-0000-000021000000}"/>
    <cellStyle name="Hed Side_1-1A-Regular" xfId="33" xr:uid="{00000000-0005-0000-0000-000022000000}"/>
    <cellStyle name="Hed Top" xfId="34" xr:uid="{00000000-0005-0000-0000-000023000000}"/>
    <cellStyle name="Hed Top - SECTION" xfId="35" xr:uid="{00000000-0005-0000-0000-000024000000}"/>
    <cellStyle name="Hed Top_3-new4" xfId="36" xr:uid="{00000000-0005-0000-0000-000025000000}"/>
    <cellStyle name="Normal" xfId="0" builtinId="0"/>
    <cellStyle name="Normal 2" xfId="37" xr:uid="{00000000-0005-0000-0000-000027000000}"/>
    <cellStyle name="Normal 2 2" xfId="61" xr:uid="{00000000-0005-0000-0000-000028000000}"/>
    <cellStyle name="Normal 2 3" xfId="68" xr:uid="{00000000-0005-0000-0000-000029000000}"/>
    <cellStyle name="Normal 3" xfId="1" xr:uid="{00000000-0005-0000-0000-00002A000000}"/>
    <cellStyle name="Normal 4" xfId="64" xr:uid="{00000000-0005-0000-0000-00002B000000}"/>
    <cellStyle name="Normal 4 2" xfId="69" xr:uid="{00000000-0005-0000-0000-00002C000000}"/>
    <cellStyle name="Percent 2" xfId="62" xr:uid="{00000000-0005-0000-0000-00002D000000}"/>
    <cellStyle name="Percent 3" xfId="63" xr:uid="{00000000-0005-0000-0000-00002E000000}"/>
    <cellStyle name="Reference" xfId="38" xr:uid="{00000000-0005-0000-0000-00002F000000}"/>
    <cellStyle name="Row heading" xfId="39" xr:uid="{00000000-0005-0000-0000-000030000000}"/>
    <cellStyle name="Sheet Title" xfId="40" xr:uid="{00000000-0005-0000-0000-000031000000}"/>
    <cellStyle name="Source Hed" xfId="41" xr:uid="{00000000-0005-0000-0000-000032000000}"/>
    <cellStyle name="Source Letter" xfId="42" xr:uid="{00000000-0005-0000-0000-000033000000}"/>
    <cellStyle name="Source Superscript" xfId="43" xr:uid="{00000000-0005-0000-0000-000034000000}"/>
    <cellStyle name="Source Text" xfId="44" xr:uid="{00000000-0005-0000-0000-000035000000}"/>
    <cellStyle name="State" xfId="45" xr:uid="{00000000-0005-0000-0000-000036000000}"/>
    <cellStyle name="Superscript" xfId="46" xr:uid="{00000000-0005-0000-0000-000037000000}"/>
    <cellStyle name="Table Data" xfId="47" xr:uid="{00000000-0005-0000-0000-000038000000}"/>
    <cellStyle name="Table Head Top" xfId="48" xr:uid="{00000000-0005-0000-0000-000039000000}"/>
    <cellStyle name="Table Hed Side" xfId="49" xr:uid="{00000000-0005-0000-0000-00003A000000}"/>
    <cellStyle name="Table Title" xfId="50" xr:uid="{00000000-0005-0000-0000-00003B000000}"/>
    <cellStyle name="Title Text" xfId="51" xr:uid="{00000000-0005-0000-0000-00003C000000}"/>
    <cellStyle name="Title Text 1" xfId="52" xr:uid="{00000000-0005-0000-0000-00003D000000}"/>
    <cellStyle name="Title Text 2" xfId="53" xr:uid="{00000000-0005-0000-0000-00003E000000}"/>
    <cellStyle name="Title-1" xfId="54" xr:uid="{00000000-0005-0000-0000-00003F000000}"/>
    <cellStyle name="Title-2" xfId="55" xr:uid="{00000000-0005-0000-0000-000040000000}"/>
    <cellStyle name="Title-3" xfId="56" xr:uid="{00000000-0005-0000-0000-000041000000}"/>
    <cellStyle name="Wrap" xfId="57" xr:uid="{00000000-0005-0000-0000-000042000000}"/>
    <cellStyle name="Wrap Bold" xfId="58" xr:uid="{00000000-0005-0000-0000-000043000000}"/>
    <cellStyle name="Wrap Title" xfId="59" xr:uid="{00000000-0005-0000-0000-000044000000}"/>
    <cellStyle name="Wrap_NTS99-~11" xfId="60"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Gucose</a:t>
            </a:r>
            <a:r>
              <a:rPr lang="en-GB" baseline="0"/>
              <a:t> Levels with additions of Lactose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'2- Glucose Levels'!$C$7:$C$15</c:f>
              <c:numCache>
                <c:formatCode>h:mm:ss</c:formatCode>
                <c:ptCount val="9"/>
                <c:pt idx="0">
                  <c:v>2.0833333333333315E-2</c:v>
                </c:pt>
                <c:pt idx="1">
                  <c:v>4.166666666666663E-2</c:v>
                </c:pt>
                <c:pt idx="2">
                  <c:v>6.25E-2</c:v>
                </c:pt>
                <c:pt idx="3">
                  <c:v>8.3333333333332982E-2</c:v>
                </c:pt>
                <c:pt idx="4">
                  <c:v>0.10416666666666602</c:v>
                </c:pt>
                <c:pt idx="5">
                  <c:v>0.125</c:v>
                </c:pt>
                <c:pt idx="6">
                  <c:v>0.14583333333333304</c:v>
                </c:pt>
                <c:pt idx="7">
                  <c:v>0.16666666666666696</c:v>
                </c:pt>
                <c:pt idx="8">
                  <c:v>0.1875</c:v>
                </c:pt>
              </c:numCache>
            </c:numRef>
          </c:cat>
          <c:val>
            <c:numRef>
              <c:f>'2- Glucose Levels'!$E$7:$E$15</c:f>
              <c:numCache>
                <c:formatCode>0.00</c:formatCode>
                <c:ptCount val="9"/>
                <c:pt idx="0">
                  <c:v>0.86666666666666747</c:v>
                </c:pt>
                <c:pt idx="1">
                  <c:v>0.63333333333333386</c:v>
                </c:pt>
                <c:pt idx="2">
                  <c:v>0.53333333333333333</c:v>
                </c:pt>
                <c:pt idx="3">
                  <c:v>0.47500000000000198</c:v>
                </c:pt>
                <c:pt idx="4">
                  <c:v>0.43333333333333601</c:v>
                </c:pt>
                <c:pt idx="5">
                  <c:v>0.41111111111111109</c:v>
                </c:pt>
                <c:pt idx="6">
                  <c:v>0.38571428571428651</c:v>
                </c:pt>
                <c:pt idx="7">
                  <c:v>0.35833333333333273</c:v>
                </c:pt>
                <c:pt idx="8">
                  <c:v>0.33333333333333331</c:v>
                </c:pt>
              </c:numCache>
            </c:numRef>
          </c:val>
          <c:smooth val="0"/>
          <c:extLst>
            <c:ext xmlns:c16="http://schemas.microsoft.com/office/drawing/2014/chart" uri="{C3380CC4-5D6E-409C-BE32-E72D297353CC}">
              <c16:uniqueId val="{00000000-7E0D-9A48-9CC4-1C79140D3CF3}"/>
            </c:ext>
          </c:extLst>
        </c:ser>
        <c:dLbls>
          <c:showLegendKey val="0"/>
          <c:showVal val="0"/>
          <c:showCatName val="0"/>
          <c:showSerName val="0"/>
          <c:showPercent val="0"/>
          <c:showBubbleSize val="0"/>
        </c:dLbls>
        <c:smooth val="0"/>
        <c:axId val="830574208"/>
        <c:axId val="1856770944"/>
      </c:lineChart>
      <c:catAx>
        <c:axId val="8305742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Timelapse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70944"/>
        <c:crossesAt val="0"/>
        <c:auto val="1"/>
        <c:lblAlgn val="ctr"/>
        <c:lblOffset val="100"/>
        <c:noMultiLvlLbl val="0"/>
      </c:catAx>
      <c:valAx>
        <c:axId val="185677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Glusose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74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'3-Mice '!$A$5</c:f>
              <c:strCache>
                <c:ptCount val="1"/>
                <c:pt idx="0">
                  <c:v>Cage A</c:v>
                </c:pt>
              </c:strCache>
            </c:strRef>
          </c:tx>
          <c:spPr>
            <a:solidFill>
              <a:schemeClr val="accent1"/>
            </a:solidFill>
            <a:ln>
              <a:noFill/>
            </a:ln>
            <a:effectLst/>
          </c:spPr>
          <c:invertIfNegative val="0"/>
          <c:cat>
            <c:strRef>
              <c:f>'3-Mice '!$B$4:$D$4</c:f>
              <c:strCache>
                <c:ptCount val="3"/>
                <c:pt idx="0">
                  <c:v>Sleep</c:v>
                </c:pt>
                <c:pt idx="1">
                  <c:v>Eat</c:v>
                </c:pt>
                <c:pt idx="2">
                  <c:v>Run</c:v>
                </c:pt>
              </c:strCache>
            </c:strRef>
          </c:cat>
          <c:val>
            <c:numRef>
              <c:f>'3-Mice '!$B$5:$D$5</c:f>
              <c:numCache>
                <c:formatCode>General</c:formatCode>
                <c:ptCount val="3"/>
                <c:pt idx="0">
                  <c:v>47</c:v>
                </c:pt>
                <c:pt idx="1">
                  <c:v>37</c:v>
                </c:pt>
                <c:pt idx="2">
                  <c:v>16</c:v>
                </c:pt>
              </c:numCache>
            </c:numRef>
          </c:val>
          <c:extLst>
            <c:ext xmlns:c16="http://schemas.microsoft.com/office/drawing/2014/chart" uri="{C3380CC4-5D6E-409C-BE32-E72D297353CC}">
              <c16:uniqueId val="{00000000-849D-754A-8BB9-C18E9806CBBA}"/>
            </c:ext>
          </c:extLst>
        </c:ser>
        <c:ser>
          <c:idx val="1"/>
          <c:order val="1"/>
          <c:tx>
            <c:strRef>
              <c:f>'3-Mice '!$A$6</c:f>
              <c:strCache>
                <c:ptCount val="1"/>
                <c:pt idx="0">
                  <c:v>Cage B</c:v>
                </c:pt>
              </c:strCache>
            </c:strRef>
          </c:tx>
          <c:spPr>
            <a:solidFill>
              <a:schemeClr val="accent2"/>
            </a:solidFill>
            <a:ln>
              <a:noFill/>
            </a:ln>
            <a:effectLst/>
          </c:spPr>
          <c:invertIfNegative val="0"/>
          <c:cat>
            <c:strRef>
              <c:f>'3-Mice '!$B$4:$D$4</c:f>
              <c:strCache>
                <c:ptCount val="3"/>
                <c:pt idx="0">
                  <c:v>Sleep</c:v>
                </c:pt>
                <c:pt idx="1">
                  <c:v>Eat</c:v>
                </c:pt>
                <c:pt idx="2">
                  <c:v>Run</c:v>
                </c:pt>
              </c:strCache>
            </c:strRef>
          </c:cat>
          <c:val>
            <c:numRef>
              <c:f>'3-Mice '!$B$6:$D$6</c:f>
              <c:numCache>
                <c:formatCode>General</c:formatCode>
                <c:ptCount val="3"/>
                <c:pt idx="0">
                  <c:v>60</c:v>
                </c:pt>
                <c:pt idx="1">
                  <c:v>21</c:v>
                </c:pt>
                <c:pt idx="2">
                  <c:v>19</c:v>
                </c:pt>
              </c:numCache>
            </c:numRef>
          </c:val>
          <c:extLst>
            <c:ext xmlns:c16="http://schemas.microsoft.com/office/drawing/2014/chart" uri="{C3380CC4-5D6E-409C-BE32-E72D297353CC}">
              <c16:uniqueId val="{00000001-849D-754A-8BB9-C18E9806CBBA}"/>
            </c:ext>
          </c:extLst>
        </c:ser>
        <c:dLbls>
          <c:showLegendKey val="0"/>
          <c:showVal val="0"/>
          <c:showCatName val="0"/>
          <c:showSerName val="0"/>
          <c:showPercent val="0"/>
          <c:showBubbleSize val="0"/>
        </c:dLbls>
        <c:gapWidth val="219"/>
        <c:overlap val="-27"/>
        <c:axId val="1106394608"/>
        <c:axId val="1093134175"/>
      </c:barChart>
      <c:catAx>
        <c:axId val="110639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34175"/>
        <c:crosses val="autoZero"/>
        <c:auto val="1"/>
        <c:lblAlgn val="ctr"/>
        <c:lblOffset val="100"/>
        <c:noMultiLvlLbl val="0"/>
      </c:catAx>
      <c:valAx>
        <c:axId val="109313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394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'4-Haemoglobin'!$B$1:$B$8</c:f>
              <c:strCache>
                <c:ptCount val="8"/>
                <c:pt idx="0">
                  <c:v>Relationship Between Haemoglobin Percentage and the Erythrocyte Cell Count of Human Blood</c:v>
                </c:pt>
                <c:pt idx="7">
                  <c:v>RBC Count</c:v>
                </c:pt>
              </c:strCache>
            </c:strRef>
          </c:tx>
          <c:spPr>
            <a:ln w="19050" cap="rnd">
              <a:solidFill>
                <a:schemeClr val="tx2"/>
              </a:solidFill>
              <a:round/>
            </a:ln>
            <a:effectLst/>
          </c:spPr>
          <c:marker>
            <c:symbol val="circle"/>
            <c:size val="5"/>
            <c:spPr>
              <a:solidFill>
                <a:srgbClr val="FF0000"/>
              </a:solidFill>
              <a:ln w="9525">
                <a:solidFill>
                  <a:schemeClr val="accent1"/>
                </a:solidFill>
              </a:ln>
              <a:effectLst/>
            </c:spPr>
          </c:marker>
          <c:xVal>
            <c:numRef>
              <c:f>'4-Haemoglobin'!$A$9:$A$17</c:f>
              <c:numCache>
                <c:formatCode>General</c:formatCode>
                <c:ptCount val="9"/>
                <c:pt idx="0">
                  <c:v>117</c:v>
                </c:pt>
                <c:pt idx="1">
                  <c:v>108</c:v>
                </c:pt>
                <c:pt idx="2">
                  <c:v>103</c:v>
                </c:pt>
                <c:pt idx="3">
                  <c:v>99</c:v>
                </c:pt>
                <c:pt idx="4">
                  <c:v>96</c:v>
                </c:pt>
                <c:pt idx="5">
                  <c:v>93</c:v>
                </c:pt>
                <c:pt idx="6">
                  <c:v>92</c:v>
                </c:pt>
                <c:pt idx="7">
                  <c:v>86</c:v>
                </c:pt>
                <c:pt idx="8">
                  <c:v>80</c:v>
                </c:pt>
              </c:numCache>
            </c:numRef>
          </c:xVal>
          <c:yVal>
            <c:numRef>
              <c:f>'4-Haemoglobin'!$B$9:$B$17</c:f>
              <c:numCache>
                <c:formatCode>0.0</c:formatCode>
                <c:ptCount val="9"/>
                <c:pt idx="0">
                  <c:v>8.5</c:v>
                </c:pt>
                <c:pt idx="1">
                  <c:v>7.7</c:v>
                </c:pt>
                <c:pt idx="2">
                  <c:v>7.5</c:v>
                </c:pt>
                <c:pt idx="3">
                  <c:v>7.2</c:v>
                </c:pt>
                <c:pt idx="4">
                  <c:v>6.5</c:v>
                </c:pt>
                <c:pt idx="5">
                  <c:v>7.3</c:v>
                </c:pt>
                <c:pt idx="6">
                  <c:v>6.7</c:v>
                </c:pt>
                <c:pt idx="7">
                  <c:v>5.4</c:v>
                </c:pt>
                <c:pt idx="8">
                  <c:v>5.0999999999999996</c:v>
                </c:pt>
              </c:numCache>
            </c:numRef>
          </c:yVal>
          <c:smooth val="0"/>
          <c:extLst>
            <c:ext xmlns:c16="http://schemas.microsoft.com/office/drawing/2014/chart" uri="{C3380CC4-5D6E-409C-BE32-E72D297353CC}">
              <c16:uniqueId val="{00000000-38A3-CA43-B1EA-DB6139F6860D}"/>
            </c:ext>
          </c:extLst>
        </c:ser>
        <c:dLbls>
          <c:showLegendKey val="0"/>
          <c:showVal val="0"/>
          <c:showCatName val="0"/>
          <c:showSerName val="0"/>
          <c:showPercent val="0"/>
          <c:showBubbleSize val="0"/>
        </c:dLbls>
        <c:axId val="863039760"/>
        <c:axId val="863338256"/>
      </c:scatterChart>
      <c:valAx>
        <c:axId val="863039760"/>
        <c:scaling>
          <c:orientation val="minMax"/>
          <c:min val="7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38256"/>
        <c:crosses val="autoZero"/>
        <c:crossBetween val="midCat"/>
        <c:minorUnit val="4"/>
      </c:valAx>
      <c:valAx>
        <c:axId val="863338256"/>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039760"/>
        <c:crosses val="autoZero"/>
        <c:crossBetween val="midCat"/>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'5-Linearity Range'!$B$8</c:f>
              <c:strCache>
                <c:ptCount val="1"/>
                <c:pt idx="0">
                  <c:v>Absorption</c:v>
                </c:pt>
              </c:strCache>
            </c:strRef>
          </c:tx>
          <c:spPr>
            <a:ln w="19050" cap="rnd">
              <a:solidFill>
                <a:schemeClr val="accent1"/>
              </a:solidFill>
              <a:round/>
            </a:ln>
            <a:effectLst/>
          </c:spPr>
          <c:marker>
            <c:symbol val="circle"/>
            <c:size val="5"/>
            <c:spPr>
              <a:solidFill>
                <a:srgbClr val="FF0000"/>
              </a:solidFill>
              <a:ln w="9525">
                <a:solidFill>
                  <a:schemeClr val="accent1"/>
                </a:solidFill>
              </a:ln>
              <a:effectLst/>
            </c:spPr>
          </c:marker>
          <c:xVal>
            <c:numRef>
              <c:f>'5-Linearity Range'!$A$9:$A$25</c:f>
              <c:numCache>
                <c:formatCode>0.000</c:formatCode>
                <c:ptCount val="17"/>
                <c:pt idx="0">
                  <c:v>2.5999999999999999E-3</c:v>
                </c:pt>
                <c:pt idx="1">
                  <c:v>3.0000000000000001E-3</c:v>
                </c:pt>
                <c:pt idx="2">
                  <c:v>5.1999999999999998E-3</c:v>
                </c:pt>
                <c:pt idx="3">
                  <c:v>9.7999999999999997E-3</c:v>
                </c:pt>
                <c:pt idx="4">
                  <c:v>1.35E-2</c:v>
                </c:pt>
                <c:pt idx="5">
                  <c:v>1.9099999999999999E-2</c:v>
                </c:pt>
                <c:pt idx="6">
                  <c:v>2.8500000000000001E-2</c:v>
                </c:pt>
                <c:pt idx="7">
                  <c:v>3.5000000000000003E-2</c:v>
                </c:pt>
                <c:pt idx="8">
                  <c:v>0.05</c:v>
                </c:pt>
                <c:pt idx="9">
                  <c:v>6.3E-2</c:v>
                </c:pt>
                <c:pt idx="10">
                  <c:v>0.09</c:v>
                </c:pt>
                <c:pt idx="11">
                  <c:v>0.125</c:v>
                </c:pt>
                <c:pt idx="12">
                  <c:v>0.18</c:v>
                </c:pt>
                <c:pt idx="13">
                  <c:v>0.25</c:v>
                </c:pt>
                <c:pt idx="14">
                  <c:v>0.3</c:v>
                </c:pt>
                <c:pt idx="15">
                  <c:v>0.42499999999999999</c:v>
                </c:pt>
                <c:pt idx="16">
                  <c:v>0.5</c:v>
                </c:pt>
              </c:numCache>
            </c:numRef>
          </c:xVal>
          <c:yVal>
            <c:numRef>
              <c:f>'5-Linearity Range'!$B$9:$B$25</c:f>
              <c:numCache>
                <c:formatCode>0.0</c:formatCode>
                <c:ptCount val="17"/>
                <c:pt idx="0">
                  <c:v>2.5</c:v>
                </c:pt>
                <c:pt idx="1">
                  <c:v>2.9</c:v>
                </c:pt>
                <c:pt idx="2">
                  <c:v>2.9</c:v>
                </c:pt>
                <c:pt idx="3">
                  <c:v>3.3</c:v>
                </c:pt>
                <c:pt idx="4">
                  <c:v>3.3</c:v>
                </c:pt>
                <c:pt idx="5">
                  <c:v>3.3</c:v>
                </c:pt>
                <c:pt idx="6">
                  <c:v>4.2</c:v>
                </c:pt>
                <c:pt idx="7">
                  <c:v>4.2</c:v>
                </c:pt>
                <c:pt idx="8">
                  <c:v>5.8</c:v>
                </c:pt>
                <c:pt idx="9">
                  <c:v>6</c:v>
                </c:pt>
                <c:pt idx="10">
                  <c:v>8.9</c:v>
                </c:pt>
                <c:pt idx="11">
                  <c:v>23.3</c:v>
                </c:pt>
                <c:pt idx="12">
                  <c:v>59.2</c:v>
                </c:pt>
                <c:pt idx="13">
                  <c:v>89</c:v>
                </c:pt>
                <c:pt idx="14">
                  <c:v>96.1</c:v>
                </c:pt>
                <c:pt idx="15">
                  <c:v>99.9</c:v>
                </c:pt>
                <c:pt idx="16">
                  <c:v>100</c:v>
                </c:pt>
              </c:numCache>
            </c:numRef>
          </c:yVal>
          <c:smooth val="0"/>
          <c:extLst>
            <c:ext xmlns:c16="http://schemas.microsoft.com/office/drawing/2014/chart" uri="{C3380CC4-5D6E-409C-BE32-E72D297353CC}">
              <c16:uniqueId val="{00000000-90BE-7945-A298-3C4471268241}"/>
            </c:ext>
          </c:extLst>
        </c:ser>
        <c:dLbls>
          <c:showLegendKey val="0"/>
          <c:showVal val="0"/>
          <c:showCatName val="0"/>
          <c:showSerName val="0"/>
          <c:showPercent val="0"/>
          <c:showBubbleSize val="0"/>
        </c:dLbls>
        <c:axId val="1846741104"/>
        <c:axId val="1847003776"/>
      </c:scatterChart>
      <c:valAx>
        <c:axId val="184674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03776"/>
        <c:crosses val="autoZero"/>
        <c:crossBetween val="midCat"/>
      </c:valAx>
      <c:valAx>
        <c:axId val="1847003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411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'5-Linearity Range'!$B$8</c:f>
              <c:strCache>
                <c:ptCount val="1"/>
                <c:pt idx="0">
                  <c:v>Absorption</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xVal>
            <c:numRef>
              <c:f>'5-Linearity Range'!$A$9:$A$25</c:f>
              <c:numCache>
                <c:formatCode>0.000</c:formatCode>
                <c:ptCount val="17"/>
                <c:pt idx="0">
                  <c:v>2.5999999999999999E-3</c:v>
                </c:pt>
                <c:pt idx="1">
                  <c:v>3.0000000000000001E-3</c:v>
                </c:pt>
                <c:pt idx="2">
                  <c:v>5.1999999999999998E-3</c:v>
                </c:pt>
                <c:pt idx="3">
                  <c:v>9.7999999999999997E-3</c:v>
                </c:pt>
                <c:pt idx="4">
                  <c:v>1.35E-2</c:v>
                </c:pt>
                <c:pt idx="5">
                  <c:v>1.9099999999999999E-2</c:v>
                </c:pt>
                <c:pt idx="6">
                  <c:v>2.8500000000000001E-2</c:v>
                </c:pt>
                <c:pt idx="7">
                  <c:v>3.5000000000000003E-2</c:v>
                </c:pt>
                <c:pt idx="8">
                  <c:v>0.05</c:v>
                </c:pt>
                <c:pt idx="9">
                  <c:v>6.3E-2</c:v>
                </c:pt>
                <c:pt idx="10">
                  <c:v>0.09</c:v>
                </c:pt>
                <c:pt idx="11">
                  <c:v>0.125</c:v>
                </c:pt>
                <c:pt idx="12">
                  <c:v>0.18</c:v>
                </c:pt>
                <c:pt idx="13">
                  <c:v>0.25</c:v>
                </c:pt>
                <c:pt idx="14">
                  <c:v>0.3</c:v>
                </c:pt>
                <c:pt idx="15">
                  <c:v>0.42499999999999999</c:v>
                </c:pt>
                <c:pt idx="16">
                  <c:v>0.5</c:v>
                </c:pt>
              </c:numCache>
            </c:numRef>
          </c:xVal>
          <c:yVal>
            <c:numRef>
              <c:f>'5-Linearity Range'!$B$9:$B$25</c:f>
              <c:numCache>
                <c:formatCode>0.0</c:formatCode>
                <c:ptCount val="17"/>
                <c:pt idx="0">
                  <c:v>2.5</c:v>
                </c:pt>
                <c:pt idx="1">
                  <c:v>2.9</c:v>
                </c:pt>
                <c:pt idx="2">
                  <c:v>2.9</c:v>
                </c:pt>
                <c:pt idx="3">
                  <c:v>3.3</c:v>
                </c:pt>
                <c:pt idx="4">
                  <c:v>3.3</c:v>
                </c:pt>
                <c:pt idx="5">
                  <c:v>3.3</c:v>
                </c:pt>
                <c:pt idx="6">
                  <c:v>4.2</c:v>
                </c:pt>
                <c:pt idx="7">
                  <c:v>4.2</c:v>
                </c:pt>
                <c:pt idx="8">
                  <c:v>5.8</c:v>
                </c:pt>
                <c:pt idx="9">
                  <c:v>6</c:v>
                </c:pt>
                <c:pt idx="10">
                  <c:v>8.9</c:v>
                </c:pt>
                <c:pt idx="11">
                  <c:v>23.3</c:v>
                </c:pt>
                <c:pt idx="12">
                  <c:v>59.2</c:v>
                </c:pt>
                <c:pt idx="13">
                  <c:v>89</c:v>
                </c:pt>
                <c:pt idx="14">
                  <c:v>96.1</c:v>
                </c:pt>
                <c:pt idx="15">
                  <c:v>99.9</c:v>
                </c:pt>
                <c:pt idx="16">
                  <c:v>100</c:v>
                </c:pt>
              </c:numCache>
            </c:numRef>
          </c:yVal>
          <c:smooth val="0"/>
          <c:extLst>
            <c:ext xmlns:c16="http://schemas.microsoft.com/office/drawing/2014/chart" uri="{C3380CC4-5D6E-409C-BE32-E72D297353CC}">
              <c16:uniqueId val="{00000000-1D2D-E647-BBA3-90B3733FA1B2}"/>
            </c:ext>
          </c:extLst>
        </c:ser>
        <c:dLbls>
          <c:showLegendKey val="0"/>
          <c:showVal val="0"/>
          <c:showCatName val="0"/>
          <c:showSerName val="0"/>
          <c:showPercent val="0"/>
          <c:showBubbleSize val="0"/>
        </c:dLbls>
        <c:axId val="2006684080"/>
        <c:axId val="2006685792"/>
      </c:scatterChart>
      <c:valAx>
        <c:axId val="20066840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a:solidFill>
                <a:schemeClr val="tx1">
                  <a:lumMod val="5000"/>
                  <a:lumOff val="95000"/>
                </a:schemeClr>
              </a:solidFill>
            </a:ln>
            <a:effectLst/>
          </c:spPr>
        </c:minorGridlines>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006685792"/>
        <c:crosses val="autoZero"/>
        <c:crossBetween val="midCat"/>
      </c:valAx>
      <c:valAx>
        <c:axId val="20066857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a:solidFill>
                <a:schemeClr val="tx1">
                  <a:lumMod val="5000"/>
                  <a:lumOff val="95000"/>
                </a:schemeClr>
              </a:solidFill>
            </a:ln>
            <a:effectLst/>
          </c:spPr>
        </c:min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684080"/>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'6. Acid Base Reactions'!$B$7</c:f>
              <c:strCache>
                <c:ptCount val="1"/>
                <c:pt idx="0">
                  <c:v>pH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'6. Acid Base Reactions'!$A$8:$A$28</c:f>
              <c:numCache>
                <c:formatCode>General</c:formatCode>
                <c:ptCount val="21"/>
                <c:pt idx="0">
                  <c:v>0</c:v>
                </c:pt>
                <c:pt idx="1">
                  <c:v>2</c:v>
                </c:pt>
                <c:pt idx="2">
                  <c:v>4</c:v>
                </c:pt>
                <c:pt idx="3">
                  <c:v>6</c:v>
                </c:pt>
                <c:pt idx="4">
                  <c:v>8</c:v>
                </c:pt>
                <c:pt idx="5">
                  <c:v>10</c:v>
                </c:pt>
                <c:pt idx="6">
                  <c:v>12</c:v>
                </c:pt>
                <c:pt idx="7">
                  <c:v>14</c:v>
                </c:pt>
                <c:pt idx="8">
                  <c:v>16</c:v>
                </c:pt>
                <c:pt idx="9">
                  <c:v>18</c:v>
                </c:pt>
                <c:pt idx="10">
                  <c:v>20</c:v>
                </c:pt>
                <c:pt idx="11">
                  <c:v>22</c:v>
                </c:pt>
                <c:pt idx="12">
                  <c:v>23</c:v>
                </c:pt>
                <c:pt idx="13">
                  <c:v>24</c:v>
                </c:pt>
                <c:pt idx="14">
                  <c:v>25</c:v>
                </c:pt>
                <c:pt idx="15">
                  <c:v>26</c:v>
                </c:pt>
                <c:pt idx="16">
                  <c:v>28</c:v>
                </c:pt>
                <c:pt idx="17">
                  <c:v>30</c:v>
                </c:pt>
                <c:pt idx="18">
                  <c:v>32</c:v>
                </c:pt>
                <c:pt idx="19">
                  <c:v>34</c:v>
                </c:pt>
                <c:pt idx="20">
                  <c:v>36</c:v>
                </c:pt>
              </c:numCache>
            </c:numRef>
          </c:xVal>
          <c:yVal>
            <c:numRef>
              <c:f>'6. Acid Base Reactions'!$B$8:$B$28</c:f>
              <c:numCache>
                <c:formatCode>0.00</c:formatCode>
                <c:ptCount val="21"/>
                <c:pt idx="0">
                  <c:v>1.01</c:v>
                </c:pt>
                <c:pt idx="1">
                  <c:v>1.05</c:v>
                </c:pt>
                <c:pt idx="2">
                  <c:v>1.1000000000000001</c:v>
                </c:pt>
                <c:pt idx="3">
                  <c:v>1.1499999999999999</c:v>
                </c:pt>
                <c:pt idx="4">
                  <c:v>1.18</c:v>
                </c:pt>
                <c:pt idx="5">
                  <c:v>1.22</c:v>
                </c:pt>
                <c:pt idx="6">
                  <c:v>1.28</c:v>
                </c:pt>
                <c:pt idx="7">
                  <c:v>1.33</c:v>
                </c:pt>
                <c:pt idx="8">
                  <c:v>1.38</c:v>
                </c:pt>
                <c:pt idx="9">
                  <c:v>1.44</c:v>
                </c:pt>
                <c:pt idx="10">
                  <c:v>1.45</c:v>
                </c:pt>
                <c:pt idx="11">
                  <c:v>1.48</c:v>
                </c:pt>
                <c:pt idx="12">
                  <c:v>1.57</c:v>
                </c:pt>
                <c:pt idx="13">
                  <c:v>1.98</c:v>
                </c:pt>
                <c:pt idx="14">
                  <c:v>7.1</c:v>
                </c:pt>
                <c:pt idx="15">
                  <c:v>10.78</c:v>
                </c:pt>
                <c:pt idx="16">
                  <c:v>11.58</c:v>
                </c:pt>
                <c:pt idx="17">
                  <c:v>11.78</c:v>
                </c:pt>
                <c:pt idx="18">
                  <c:v>11.84</c:v>
                </c:pt>
                <c:pt idx="19">
                  <c:v>11.86</c:v>
                </c:pt>
                <c:pt idx="20">
                  <c:v>11.88</c:v>
                </c:pt>
              </c:numCache>
            </c:numRef>
          </c:yVal>
          <c:smooth val="0"/>
          <c:extLst>
            <c:ext xmlns:c16="http://schemas.microsoft.com/office/drawing/2014/chart" uri="{C3380CC4-5D6E-409C-BE32-E72D297353CC}">
              <c16:uniqueId val="{00000000-5E0F-B04B-B4F0-7933596B2D7C}"/>
            </c:ext>
          </c:extLst>
        </c:ser>
        <c:dLbls>
          <c:showLegendKey val="0"/>
          <c:showVal val="0"/>
          <c:showCatName val="0"/>
          <c:showSerName val="0"/>
          <c:showPercent val="0"/>
          <c:showBubbleSize val="0"/>
        </c:dLbls>
        <c:axId val="1794392736"/>
        <c:axId val="1794407360"/>
      </c:scatterChart>
      <c:valAx>
        <c:axId val="179439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407360"/>
        <c:crosses val="autoZero"/>
        <c:crossBetween val="midCat"/>
      </c:valAx>
      <c:valAx>
        <c:axId val="179440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3927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'6. Acid Base Reactions'!$C$7</c:f>
              <c:strCache>
                <c:ptCount val="1"/>
                <c:pt idx="0">
                  <c:v>∆pH/∆V</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'6. Acid Base Reactions'!$A$8:$A$28</c:f>
              <c:numCache>
                <c:formatCode>General</c:formatCode>
                <c:ptCount val="21"/>
                <c:pt idx="0">
                  <c:v>0</c:v>
                </c:pt>
                <c:pt idx="1">
                  <c:v>2</c:v>
                </c:pt>
                <c:pt idx="2">
                  <c:v>4</c:v>
                </c:pt>
                <c:pt idx="3">
                  <c:v>6</c:v>
                </c:pt>
                <c:pt idx="4">
                  <c:v>8</c:v>
                </c:pt>
                <c:pt idx="5">
                  <c:v>10</c:v>
                </c:pt>
                <c:pt idx="6">
                  <c:v>12</c:v>
                </c:pt>
                <c:pt idx="7">
                  <c:v>14</c:v>
                </c:pt>
                <c:pt idx="8">
                  <c:v>16</c:v>
                </c:pt>
                <c:pt idx="9">
                  <c:v>18</c:v>
                </c:pt>
                <c:pt idx="10">
                  <c:v>20</c:v>
                </c:pt>
                <c:pt idx="11">
                  <c:v>22</c:v>
                </c:pt>
                <c:pt idx="12">
                  <c:v>23</c:v>
                </c:pt>
                <c:pt idx="13">
                  <c:v>24</c:v>
                </c:pt>
                <c:pt idx="14">
                  <c:v>25</c:v>
                </c:pt>
                <c:pt idx="15">
                  <c:v>26</c:v>
                </c:pt>
                <c:pt idx="16">
                  <c:v>28</c:v>
                </c:pt>
                <c:pt idx="17">
                  <c:v>30</c:v>
                </c:pt>
                <c:pt idx="18">
                  <c:v>32</c:v>
                </c:pt>
                <c:pt idx="19">
                  <c:v>34</c:v>
                </c:pt>
                <c:pt idx="20">
                  <c:v>36</c:v>
                </c:pt>
              </c:numCache>
            </c:numRef>
          </c:xVal>
          <c:yVal>
            <c:numRef>
              <c:f>'6. Acid Base Reactions'!$C$8:$C$28</c:f>
              <c:numCache>
                <c:formatCode>0.000</c:formatCode>
                <c:ptCount val="21"/>
                <c:pt idx="1">
                  <c:v>2.0000000000000018E-2</c:v>
                </c:pt>
                <c:pt idx="2">
                  <c:v>2.5000000000000022E-2</c:v>
                </c:pt>
                <c:pt idx="3">
                  <c:v>2.4999999999999911E-2</c:v>
                </c:pt>
                <c:pt idx="4">
                  <c:v>1.5000000000000013E-2</c:v>
                </c:pt>
                <c:pt idx="5">
                  <c:v>2.0000000000000018E-2</c:v>
                </c:pt>
                <c:pt idx="6">
                  <c:v>3.0000000000000027E-2</c:v>
                </c:pt>
                <c:pt idx="7">
                  <c:v>2.5000000000000022E-2</c:v>
                </c:pt>
                <c:pt idx="8">
                  <c:v>2.4999999999999911E-2</c:v>
                </c:pt>
                <c:pt idx="9">
                  <c:v>3.0000000000000027E-2</c:v>
                </c:pt>
                <c:pt idx="10">
                  <c:v>5.0000000000000044E-3</c:v>
                </c:pt>
                <c:pt idx="11">
                  <c:v>1.5000000000000013E-2</c:v>
                </c:pt>
                <c:pt idx="12">
                  <c:v>9.000000000000008E-2</c:v>
                </c:pt>
                <c:pt idx="13">
                  <c:v>0.40999999999999992</c:v>
                </c:pt>
                <c:pt idx="14">
                  <c:v>5.1199999999999992</c:v>
                </c:pt>
                <c:pt idx="15">
                  <c:v>3.6799999999999997</c:v>
                </c:pt>
                <c:pt idx="16">
                  <c:v>0.40000000000000036</c:v>
                </c:pt>
                <c:pt idx="17">
                  <c:v>9.9999999999999645E-2</c:v>
                </c:pt>
                <c:pt idx="18">
                  <c:v>3.0000000000000249E-2</c:v>
                </c:pt>
                <c:pt idx="19">
                  <c:v>9.9999999999997868E-3</c:v>
                </c:pt>
                <c:pt idx="20">
                  <c:v>1.0000000000000675E-2</c:v>
                </c:pt>
              </c:numCache>
            </c:numRef>
          </c:yVal>
          <c:smooth val="0"/>
          <c:extLst>
            <c:ext xmlns:c16="http://schemas.microsoft.com/office/drawing/2014/chart" uri="{C3380CC4-5D6E-409C-BE32-E72D297353CC}">
              <c16:uniqueId val="{00000000-A71F-3148-A18E-654EEED7CDF4}"/>
            </c:ext>
          </c:extLst>
        </c:ser>
        <c:dLbls>
          <c:showLegendKey val="0"/>
          <c:showVal val="0"/>
          <c:showCatName val="0"/>
          <c:showSerName val="0"/>
          <c:showPercent val="0"/>
          <c:showBubbleSize val="0"/>
        </c:dLbls>
        <c:axId val="2006556720"/>
        <c:axId val="2006828288"/>
      </c:scatterChart>
      <c:valAx>
        <c:axId val="200655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828288"/>
        <c:crosses val="autoZero"/>
        <c:crossBetween val="midCat"/>
      </c:valAx>
      <c:valAx>
        <c:axId val="200682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56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352779</xdr:colOff>
      <xdr:row>18</xdr:row>
      <xdr:rowOff>109359</xdr:rowOff>
    </xdr:from>
    <xdr:ext cx="4035777" cy="7655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1.96</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mlns="">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1.96</a:t>
              </a:r>
              <a:r>
                <a:rPr lang="en-IE" sz="1600" b="0" i="0">
                  <a:latin typeface="Cambria Math" panose="02040503050406030204" pitchFamily="18" charset="0"/>
                </a:rPr>
                <a:t>/(</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oneCellAnchor>
    <xdr:from>
      <xdr:col>9</xdr:col>
      <xdr:colOff>462845</xdr:colOff>
      <xdr:row>18</xdr:row>
      <xdr:rowOff>106537</xdr:rowOff>
    </xdr:from>
    <xdr:ext cx="4035777" cy="76552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m:t>
                                </m:r>
                                <m:r>
                                  <a:rPr lang="en-IE" sz="1600" b="0" i="1">
                                    <a:latin typeface="Cambria Math" panose="02040503050406030204" pitchFamily="18" charset="0"/>
                                  </a:rPr>
                                  <m:t>65</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mlns="">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a:t>
              </a:r>
              <a:r>
                <a:rPr lang="en-IE" sz="1600" b="0" i="0">
                  <a:latin typeface="Cambria Math" panose="02040503050406030204" pitchFamily="18" charset="0"/>
                </a:rPr>
                <a:t>65/(</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5</xdr:col>
      <xdr:colOff>141111</xdr:colOff>
      <xdr:row>23</xdr:row>
      <xdr:rowOff>187678</xdr:rowOff>
    </xdr:from>
    <xdr:to>
      <xdr:col>6</xdr:col>
      <xdr:colOff>4430888</xdr:colOff>
      <xdr:row>41</xdr:row>
      <xdr:rowOff>28222</xdr:rowOff>
    </xdr:to>
    <xdr:graphicFrame macro="">
      <xdr:nvGraphicFramePr>
        <xdr:cNvPr id="2" name="Chart 1">
          <a:extLst>
            <a:ext uri="{FF2B5EF4-FFF2-40B4-BE49-F238E27FC236}">
              <a16:creationId xmlns:a16="http://schemas.microsoft.com/office/drawing/2014/main" id="{91B5FC9B-510C-CBCE-C46C-073E1EBAF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388054</xdr:colOff>
      <xdr:row>6</xdr:row>
      <xdr:rowOff>60677</xdr:rowOff>
    </xdr:from>
    <xdr:to>
      <xdr:col>6</xdr:col>
      <xdr:colOff>691443</xdr:colOff>
      <xdr:row>27</xdr:row>
      <xdr:rowOff>14111</xdr:rowOff>
    </xdr:to>
    <xdr:graphicFrame macro="">
      <xdr:nvGraphicFramePr>
        <xdr:cNvPr id="2" name="Chart 1">
          <a:extLst>
            <a:ext uri="{FF2B5EF4-FFF2-40B4-BE49-F238E27FC236}">
              <a16:creationId xmlns:a16="http://schemas.microsoft.com/office/drawing/2014/main" id="{AC12EBBC-AB90-9B4F-0202-CCA7024C5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56445</xdr:colOff>
      <xdr:row>1</xdr:row>
      <xdr:rowOff>112889</xdr:rowOff>
    </xdr:from>
    <xdr:to>
      <xdr:col>12</xdr:col>
      <xdr:colOff>441678</xdr:colOff>
      <xdr:row>14</xdr:row>
      <xdr:rowOff>122767</xdr:rowOff>
    </xdr:to>
    <xdr:pic>
      <xdr:nvPicPr>
        <xdr:cNvPr id="3" name="Picture 2">
          <a:extLst>
            <a:ext uri="{FF2B5EF4-FFF2-40B4-BE49-F238E27FC236}">
              <a16:creationId xmlns:a16="http://schemas.microsoft.com/office/drawing/2014/main" id="{CA0EF42B-26B7-380A-60F9-6C60070C853B}"/>
            </a:ext>
          </a:extLst>
        </xdr:cNvPr>
        <xdr:cNvPicPr>
          <a:picLocks noChangeAspect="1"/>
        </xdr:cNvPicPr>
      </xdr:nvPicPr>
      <xdr:blipFill>
        <a:blip xmlns:r="http://schemas.openxmlformats.org/officeDocument/2006/relationships" r:embed="rId1"/>
        <a:stretch>
          <a:fillRect/>
        </a:stretch>
      </xdr:blipFill>
      <xdr:spPr>
        <a:xfrm>
          <a:off x="7450667" y="310445"/>
          <a:ext cx="3771900" cy="2578100"/>
        </a:xfrm>
        <a:prstGeom prst="rect">
          <a:avLst/>
        </a:prstGeom>
      </xdr:spPr>
    </xdr:pic>
    <xdr:clientData/>
  </xdr:twoCellAnchor>
  <xdr:twoCellAnchor>
    <xdr:from>
      <xdr:col>7</xdr:col>
      <xdr:colOff>21167</xdr:colOff>
      <xdr:row>16</xdr:row>
      <xdr:rowOff>60678</xdr:rowOff>
    </xdr:from>
    <xdr:to>
      <xdr:col>12</xdr:col>
      <xdr:colOff>550333</xdr:colOff>
      <xdr:row>30</xdr:row>
      <xdr:rowOff>155222</xdr:rowOff>
    </xdr:to>
    <xdr:graphicFrame macro="">
      <xdr:nvGraphicFramePr>
        <xdr:cNvPr id="2" name="Chart 1">
          <a:extLst>
            <a:ext uri="{FF2B5EF4-FFF2-40B4-BE49-F238E27FC236}">
              <a16:creationId xmlns:a16="http://schemas.microsoft.com/office/drawing/2014/main" id="{BB31E98A-4037-DFB3-A31A-B977A4417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56444</xdr:colOff>
      <xdr:row>3</xdr:row>
      <xdr:rowOff>112889</xdr:rowOff>
    </xdr:from>
    <xdr:to>
      <xdr:col>12</xdr:col>
      <xdr:colOff>649111</xdr:colOff>
      <xdr:row>23</xdr:row>
      <xdr:rowOff>152058</xdr:rowOff>
    </xdr:to>
    <xdr:pic>
      <xdr:nvPicPr>
        <xdr:cNvPr id="2" name="Picture 1">
          <a:extLst>
            <a:ext uri="{FF2B5EF4-FFF2-40B4-BE49-F238E27FC236}">
              <a16:creationId xmlns:a16="http://schemas.microsoft.com/office/drawing/2014/main" id="{0820ED6F-4707-FE26-84A8-7EA1AFCCB39B}"/>
            </a:ext>
          </a:extLst>
        </xdr:cNvPr>
        <xdr:cNvPicPr>
          <a:picLocks noChangeAspect="1"/>
        </xdr:cNvPicPr>
      </xdr:nvPicPr>
      <xdr:blipFill>
        <a:blip xmlns:r="http://schemas.openxmlformats.org/officeDocument/2006/relationships" r:embed="rId1"/>
        <a:stretch>
          <a:fillRect/>
        </a:stretch>
      </xdr:blipFill>
      <xdr:spPr>
        <a:xfrm>
          <a:off x="7535333" y="578556"/>
          <a:ext cx="3302000" cy="3990280"/>
        </a:xfrm>
        <a:prstGeom prst="rect">
          <a:avLst/>
        </a:prstGeom>
      </xdr:spPr>
    </xdr:pic>
    <xdr:clientData/>
  </xdr:twoCellAnchor>
  <xdr:twoCellAnchor>
    <xdr:from>
      <xdr:col>2</xdr:col>
      <xdr:colOff>331611</xdr:colOff>
      <xdr:row>26</xdr:row>
      <xdr:rowOff>103011</xdr:rowOff>
    </xdr:from>
    <xdr:to>
      <xdr:col>8</xdr:col>
      <xdr:colOff>557389</xdr:colOff>
      <xdr:row>42</xdr:row>
      <xdr:rowOff>136877</xdr:rowOff>
    </xdr:to>
    <xdr:graphicFrame macro="">
      <xdr:nvGraphicFramePr>
        <xdr:cNvPr id="3" name="Chart 2">
          <a:extLst>
            <a:ext uri="{FF2B5EF4-FFF2-40B4-BE49-F238E27FC236}">
              <a16:creationId xmlns:a16="http://schemas.microsoft.com/office/drawing/2014/main" id="{D320AC4B-F08D-8203-224B-0FC4A85A6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176389</xdr:colOff>
      <xdr:row>17</xdr:row>
      <xdr:rowOff>74789</xdr:rowOff>
    </xdr:from>
    <xdr:to>
      <xdr:col>11</xdr:col>
      <xdr:colOff>7056</xdr:colOff>
      <xdr:row>32</xdr:row>
      <xdr:rowOff>52211</xdr:rowOff>
    </xdr:to>
    <xdr:graphicFrame macro="">
      <xdr:nvGraphicFramePr>
        <xdr:cNvPr id="4" name="Chart 3">
          <a:extLst>
            <a:ext uri="{FF2B5EF4-FFF2-40B4-BE49-F238E27FC236}">
              <a16:creationId xmlns:a16="http://schemas.microsoft.com/office/drawing/2014/main" id="{AB2F657F-C8ED-3736-97B2-B7D105AFC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28</xdr:row>
      <xdr:rowOff>180974</xdr:rowOff>
    </xdr:from>
    <xdr:to>
      <xdr:col>9</xdr:col>
      <xdr:colOff>762000</xdr:colOff>
      <xdr:row>39</xdr:row>
      <xdr:rowOff>19050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6286499"/>
          <a:ext cx="6172200" cy="1933576"/>
        </a:xfrm>
        <a:prstGeom prst="rect">
          <a:avLst/>
        </a:prstGeom>
        <a:solidFill>
          <a:srgbClr val="FFC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E" sz="1100">
              <a:solidFill>
                <a:schemeClr val="dk1"/>
              </a:solidFill>
              <a:effectLst/>
              <a:latin typeface="+mn-lt"/>
              <a:ea typeface="+mn-ea"/>
              <a:cs typeface="+mn-cs"/>
            </a:rPr>
            <a:t>Titrations are often recorded on graphs called titration curves, which generally contain the volume of the titrant as the independent variable and the pH of the solution as the dependent variable (because it changes depending on the composition of the two solutions).</a:t>
          </a:r>
          <a:r>
            <a:rPr lang="en-IE" sz="1100" baseline="0">
              <a:solidFill>
                <a:schemeClr val="dk1"/>
              </a:solidFill>
              <a:effectLst/>
              <a:latin typeface="+mn-lt"/>
              <a:ea typeface="+mn-ea"/>
              <a:cs typeface="+mn-cs"/>
            </a:rPr>
            <a:t> </a:t>
          </a:r>
          <a:r>
            <a:rPr lang="en-IE" sz="1100">
              <a:solidFill>
                <a:schemeClr val="dk1"/>
              </a:solidFill>
              <a:effectLst/>
              <a:latin typeface="+mn-lt"/>
              <a:ea typeface="+mn-ea"/>
              <a:cs typeface="+mn-cs"/>
            </a:rPr>
            <a:t>The </a:t>
          </a:r>
          <a:r>
            <a:rPr lang="en-IE" sz="1100" b="1">
              <a:solidFill>
                <a:schemeClr val="dk1"/>
              </a:solidFill>
              <a:effectLst/>
              <a:latin typeface="+mn-lt"/>
              <a:ea typeface="+mn-ea"/>
              <a:cs typeface="+mn-cs"/>
            </a:rPr>
            <a:t>equivalence point </a:t>
          </a:r>
          <a:r>
            <a:rPr lang="en-IE" sz="1100">
              <a:solidFill>
                <a:schemeClr val="dk1"/>
              </a:solidFill>
              <a:effectLst/>
              <a:latin typeface="+mn-lt"/>
              <a:ea typeface="+mn-ea"/>
              <a:cs typeface="+mn-cs"/>
            </a:rPr>
            <a:t>on the graph is where all of the starting solution (usually an acid) has been neutralised by the titrant (usually a base). It can be calculated precisely by finding the derivative  of the titration curve and computing the points of inflection.</a:t>
          </a:r>
          <a:endParaRPr lang="en-IE">
            <a:effectLst/>
          </a:endParaRPr>
        </a:p>
        <a:p>
          <a:pPr algn="l"/>
          <a:endParaRPr lang="en-IE" sz="1100" b="1"/>
        </a:p>
        <a:p>
          <a:pPr algn="l"/>
          <a:r>
            <a:rPr lang="en-IE" sz="1100" b="1"/>
            <a:t>Note: </a:t>
          </a:r>
          <a:r>
            <a:rPr lang="en-IE" sz="1100"/>
            <a:t>When </a:t>
          </a:r>
          <a:r>
            <a:rPr lang="el-GR" sz="1100" b="1"/>
            <a:t>Δ</a:t>
          </a:r>
          <a:r>
            <a:rPr lang="en-IE" sz="1100" b="1"/>
            <a:t>pH/</a:t>
          </a:r>
          <a:r>
            <a:rPr lang="el-GR" sz="1100" b="1"/>
            <a:t>Δ</a:t>
          </a:r>
          <a:r>
            <a:rPr lang="en-IE" sz="1100" b="1"/>
            <a:t>V </a:t>
          </a:r>
          <a:r>
            <a:rPr lang="en-IE" sz="1100"/>
            <a:t>is at its maximum value (the highest point on the graph), it represents the inflection point of the titration. Note the equivalence point found on the Acid-Base Titration</a:t>
          </a:r>
          <a:r>
            <a:rPr lang="en-IE" sz="1100" baseline="0"/>
            <a:t> </a:t>
          </a:r>
          <a:r>
            <a:rPr lang="en-IE" sz="1100"/>
            <a:t>(pH Titration Curve)</a:t>
          </a:r>
          <a:r>
            <a:rPr lang="en-IE" sz="1100" baseline="0"/>
            <a:t> </a:t>
          </a:r>
          <a:r>
            <a:rPr lang="en-IE" sz="1100"/>
            <a:t>is in agreement</a:t>
          </a:r>
          <a:r>
            <a:rPr lang="en-IE" sz="1100" baseline="0"/>
            <a:t> with the volume at the maximum value on the 1st Derivative Plot (</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pH/</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V  vs</a:t>
          </a:r>
          <a:r>
            <a:rPr lang="en-IE" sz="1100" baseline="0">
              <a:solidFill>
                <a:schemeClr val="dk1"/>
              </a:solidFill>
              <a:effectLst/>
              <a:latin typeface="+mn-lt"/>
              <a:ea typeface="+mn-ea"/>
              <a:cs typeface="+mn-cs"/>
            </a:rPr>
            <a:t> V</a:t>
          </a:r>
          <a:r>
            <a:rPr lang="en-IE" sz="1100" baseline="-25000">
              <a:solidFill>
                <a:schemeClr val="dk1"/>
              </a:solidFill>
              <a:effectLst/>
              <a:latin typeface="+mn-lt"/>
              <a:ea typeface="+mn-ea"/>
              <a:cs typeface="+mn-cs"/>
            </a:rPr>
            <a:t>B</a:t>
          </a:r>
          <a:r>
            <a:rPr lang="en-IE" sz="1100" baseline="0">
              <a:solidFill>
                <a:schemeClr val="dk1"/>
              </a:solidFill>
              <a:effectLst/>
              <a:latin typeface="+mn-lt"/>
              <a:ea typeface="+mn-ea"/>
              <a:cs typeface="+mn-cs"/>
            </a:rPr>
            <a:t>)</a:t>
          </a:r>
          <a:r>
            <a:rPr lang="en-IE" sz="1100" baseline="0"/>
            <a:t>.</a:t>
          </a:r>
          <a:endParaRPr lang="en-IE" sz="1100" baseline="30000"/>
        </a:p>
      </xdr:txBody>
    </xdr:sp>
    <xdr:clientData/>
  </xdr:twoCellAnchor>
  <xdr:twoCellAnchor>
    <xdr:from>
      <xdr:col>4</xdr:col>
      <xdr:colOff>101600</xdr:colOff>
      <xdr:row>12</xdr:row>
      <xdr:rowOff>171450</xdr:rowOff>
    </xdr:from>
    <xdr:to>
      <xdr:col>10</xdr:col>
      <xdr:colOff>317500</xdr:colOff>
      <xdr:row>26</xdr:row>
      <xdr:rowOff>69850</xdr:rowOff>
    </xdr:to>
    <xdr:graphicFrame macro="">
      <xdr:nvGraphicFramePr>
        <xdr:cNvPr id="3" name="Chart 2">
          <a:extLst>
            <a:ext uri="{FF2B5EF4-FFF2-40B4-BE49-F238E27FC236}">
              <a16:creationId xmlns:a16="http://schemas.microsoft.com/office/drawing/2014/main" id="{76D83D61-31A1-63A2-A8AA-1D3074399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330200</xdr:colOff>
      <xdr:row>19</xdr:row>
      <xdr:rowOff>57150</xdr:rowOff>
    </xdr:from>
    <xdr:to>
      <xdr:col>14</xdr:col>
      <xdr:colOff>4229100</xdr:colOff>
      <xdr:row>33</xdr:row>
      <xdr:rowOff>19050</xdr:rowOff>
    </xdr:to>
    <xdr:graphicFrame macro="">
      <xdr:nvGraphicFramePr>
        <xdr:cNvPr id="4" name="Chart 3">
          <a:extLst>
            <a:ext uri="{FF2B5EF4-FFF2-40B4-BE49-F238E27FC236}">
              <a16:creationId xmlns:a16="http://schemas.microsoft.com/office/drawing/2014/main" id="{FB007265-131F-A6B3-DBF8-D12F0AA7D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enda/Desktop/ICTForScientists2018/Scientists_Stuff!!!!!/C:/Users/Kathleen/AppData/Local/Temp/Temp1_ScienceBookFiles.zip/3-PlottingGraphs/Part3-BeginExerc/B-ExercPar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9"/>
  <sheetViews>
    <sheetView tabSelected="1" zoomScale="90" zoomScaleNormal="90" zoomScalePageLayoutView="90" workbookViewId="0">
      <selection activeCell="K5" sqref="K5:K16"/>
    </sheetView>
  </sheetViews>
  <sheetFormatPr baseColWidth="10" defaultColWidth="11.5" defaultRowHeight="13"/>
  <cols>
    <col min="1" max="1" width="5" style="1" customWidth="1"/>
    <col min="2" max="2" width="10.33203125" style="1" bestFit="1" customWidth="1"/>
    <col min="3" max="3" width="6.6640625" style="1" customWidth="1"/>
    <col min="4" max="4" width="9.5" style="1" customWidth="1"/>
    <col min="5" max="5" width="14.6640625" style="1" customWidth="1"/>
    <col min="6" max="8" width="9.5" style="1" customWidth="1"/>
    <col min="9" max="9" width="6.6640625" style="1" customWidth="1"/>
    <col min="10" max="10" width="11.5" style="1" customWidth="1"/>
    <col min="11" max="11" width="8.5" style="1" customWidth="1"/>
    <col min="12" max="16" width="9.33203125" style="1" customWidth="1"/>
    <col min="17" max="16384" width="11.5" style="1"/>
  </cols>
  <sheetData>
    <row r="1" spans="1:16" ht="18">
      <c r="A1" s="51" t="s">
        <v>0</v>
      </c>
      <c r="B1" s="51"/>
      <c r="C1" s="51"/>
      <c r="D1" s="51"/>
      <c r="E1" s="51"/>
      <c r="F1" s="51"/>
      <c r="G1" s="51"/>
      <c r="H1" s="51"/>
      <c r="I1" s="51"/>
      <c r="J1" s="51"/>
      <c r="K1" s="51"/>
      <c r="L1" s="51"/>
      <c r="M1" s="51"/>
      <c r="N1" s="51"/>
      <c r="O1" s="51"/>
      <c r="P1" s="51"/>
    </row>
    <row r="2" spans="1:16" ht="14" thickBot="1"/>
    <row r="3" spans="1:16" ht="16" customHeight="1" thickBot="1">
      <c r="B3" s="14">
        <v>1.96</v>
      </c>
      <c r="C3" s="12"/>
      <c r="D3" s="53" t="s">
        <v>1</v>
      </c>
      <c r="E3" s="53"/>
      <c r="F3" s="53"/>
      <c r="G3" s="53"/>
      <c r="H3" s="53"/>
      <c r="I3" s="12"/>
      <c r="J3" s="14">
        <v>1.65</v>
      </c>
      <c r="K3" s="12"/>
      <c r="L3" s="53" t="s">
        <v>1</v>
      </c>
      <c r="M3" s="53"/>
      <c r="N3" s="53"/>
      <c r="O3" s="53"/>
      <c r="P3" s="53"/>
    </row>
    <row r="4" spans="1:16" ht="16" customHeight="1">
      <c r="B4" s="12"/>
      <c r="C4" s="12"/>
      <c r="D4" s="42">
        <v>1.4999999999999999E-2</v>
      </c>
      <c r="E4" s="49">
        <v>0.03</v>
      </c>
      <c r="F4" s="49">
        <v>0.06</v>
      </c>
      <c r="G4" s="49">
        <v>0.12</v>
      </c>
      <c r="H4" s="49">
        <v>0.2</v>
      </c>
      <c r="I4" s="12"/>
      <c r="J4" s="12"/>
      <c r="K4" s="12"/>
      <c r="L4" s="49">
        <v>1.4999999999999999E-2</v>
      </c>
      <c r="M4" s="49">
        <v>0.03</v>
      </c>
      <c r="N4" s="49">
        <v>0.06</v>
      </c>
      <c r="O4" s="49">
        <v>0.12</v>
      </c>
      <c r="P4" s="49">
        <v>0.2</v>
      </c>
    </row>
    <row r="5" spans="1:16" ht="16" customHeight="1">
      <c r="B5" s="54" t="s">
        <v>2</v>
      </c>
      <c r="C5" s="67">
        <v>0.1</v>
      </c>
      <c r="D5" s="13">
        <f>($B$3 / D$4)^2 * ($C5)^2</f>
        <v>170.73777777777778</v>
      </c>
      <c r="E5" s="13">
        <f t="shared" ref="E5:H16" si="0">($B$3 / E$4)^2 * ($C5)^2</f>
        <v>42.684444444444445</v>
      </c>
      <c r="F5" s="13">
        <f t="shared" si="0"/>
        <v>10.671111111111111</v>
      </c>
      <c r="G5" s="13">
        <f t="shared" si="0"/>
        <v>2.6677777777777778</v>
      </c>
      <c r="H5" s="13">
        <f t="shared" si="0"/>
        <v>0.96039999999999992</v>
      </c>
      <c r="I5" s="12"/>
      <c r="J5" s="54" t="s">
        <v>2</v>
      </c>
      <c r="K5" s="67">
        <v>0.1</v>
      </c>
      <c r="L5" s="13">
        <f>($J$3 / L$4)^2 * ($K5)^2</f>
        <v>121.00000000000003</v>
      </c>
      <c r="M5" s="13">
        <f t="shared" ref="M5:P16" si="1">($J$3 / M$4)^2 * ($K5)^2</f>
        <v>30.250000000000007</v>
      </c>
      <c r="N5" s="13">
        <f t="shared" si="1"/>
        <v>7.5625000000000018</v>
      </c>
      <c r="O5" s="13">
        <f t="shared" si="1"/>
        <v>1.8906250000000004</v>
      </c>
      <c r="P5" s="13">
        <f t="shared" si="1"/>
        <v>0.68062499999999981</v>
      </c>
    </row>
    <row r="6" spans="1:16" ht="16" customHeight="1">
      <c r="B6" s="54"/>
      <c r="C6" s="68">
        <v>0.2</v>
      </c>
      <c r="D6" s="13">
        <f t="shared" ref="D6:D16" si="2">($B$3 / D$4)^2 * ($C6)^2</f>
        <v>682.95111111111112</v>
      </c>
      <c r="E6" s="13">
        <f t="shared" si="0"/>
        <v>170.73777777777778</v>
      </c>
      <c r="F6" s="13">
        <f t="shared" si="0"/>
        <v>42.684444444444445</v>
      </c>
      <c r="G6" s="13">
        <f t="shared" si="0"/>
        <v>10.671111111111111</v>
      </c>
      <c r="H6" s="13">
        <f t="shared" si="0"/>
        <v>3.8415999999999997</v>
      </c>
      <c r="I6" s="12"/>
      <c r="J6" s="54"/>
      <c r="K6" s="68">
        <v>0.2</v>
      </c>
      <c r="L6" s="13">
        <f t="shared" ref="L6:L16" si="3">($J$3 / L$4)^2 * ($K6)^2</f>
        <v>484.00000000000011</v>
      </c>
      <c r="M6" s="13">
        <f t="shared" si="1"/>
        <v>121.00000000000003</v>
      </c>
      <c r="N6" s="13">
        <f t="shared" si="1"/>
        <v>30.250000000000007</v>
      </c>
      <c r="O6" s="13">
        <f t="shared" si="1"/>
        <v>7.5625000000000018</v>
      </c>
      <c r="P6" s="13">
        <f t="shared" si="1"/>
        <v>2.7224999999999993</v>
      </c>
    </row>
    <row r="7" spans="1:16" ht="16" customHeight="1">
      <c r="B7" s="54"/>
      <c r="C7" s="68">
        <v>0.3</v>
      </c>
      <c r="D7" s="13">
        <f t="shared" si="2"/>
        <v>1536.6399999999996</v>
      </c>
      <c r="E7" s="13">
        <f t="shared" si="0"/>
        <v>384.15999999999991</v>
      </c>
      <c r="F7" s="13">
        <f t="shared" si="0"/>
        <v>96.039999999999978</v>
      </c>
      <c r="G7" s="13">
        <f t="shared" si="0"/>
        <v>24.009999999999994</v>
      </c>
      <c r="H7" s="13">
        <f t="shared" si="0"/>
        <v>8.6435999999999975</v>
      </c>
      <c r="I7" s="12"/>
      <c r="J7" s="54"/>
      <c r="K7" s="68">
        <v>0.3</v>
      </c>
      <c r="L7" s="13">
        <f t="shared" si="3"/>
        <v>1089</v>
      </c>
      <c r="M7" s="13">
        <f t="shared" si="1"/>
        <v>272.25</v>
      </c>
      <c r="N7" s="13">
        <f t="shared" si="1"/>
        <v>68.0625</v>
      </c>
      <c r="O7" s="13">
        <f t="shared" si="1"/>
        <v>17.015625</v>
      </c>
      <c r="P7" s="13">
        <f t="shared" si="1"/>
        <v>6.1256249999999977</v>
      </c>
    </row>
    <row r="8" spans="1:16" ht="16" customHeight="1">
      <c r="B8" s="54"/>
      <c r="C8" s="68">
        <v>0.4</v>
      </c>
      <c r="D8" s="13">
        <f t="shared" si="2"/>
        <v>2731.8044444444445</v>
      </c>
      <c r="E8" s="13">
        <f t="shared" si="0"/>
        <v>682.95111111111112</v>
      </c>
      <c r="F8" s="13">
        <f t="shared" si="0"/>
        <v>170.73777777777778</v>
      </c>
      <c r="G8" s="13">
        <f t="shared" si="0"/>
        <v>42.684444444444445</v>
      </c>
      <c r="H8" s="13">
        <f t="shared" si="0"/>
        <v>15.366399999999999</v>
      </c>
      <c r="I8" s="12"/>
      <c r="J8" s="54"/>
      <c r="K8" s="68">
        <v>0.4</v>
      </c>
      <c r="L8" s="13">
        <f t="shared" si="3"/>
        <v>1936.0000000000005</v>
      </c>
      <c r="M8" s="13">
        <f t="shared" si="1"/>
        <v>484.00000000000011</v>
      </c>
      <c r="N8" s="13">
        <f t="shared" si="1"/>
        <v>121.00000000000003</v>
      </c>
      <c r="O8" s="13">
        <f t="shared" si="1"/>
        <v>30.250000000000007</v>
      </c>
      <c r="P8" s="13">
        <f t="shared" si="1"/>
        <v>10.889999999999997</v>
      </c>
    </row>
    <row r="9" spans="1:16" ht="16" customHeight="1">
      <c r="B9" s="54"/>
      <c r="C9" s="68">
        <v>0.5</v>
      </c>
      <c r="D9" s="13">
        <f t="shared" si="2"/>
        <v>4268.4444444444434</v>
      </c>
      <c r="E9" s="13">
        <f t="shared" si="0"/>
        <v>1067.1111111111109</v>
      </c>
      <c r="F9" s="13">
        <f t="shared" si="0"/>
        <v>266.77777777777771</v>
      </c>
      <c r="G9" s="13">
        <f t="shared" si="0"/>
        <v>66.694444444444429</v>
      </c>
      <c r="H9" s="13">
        <f t="shared" si="0"/>
        <v>24.009999999999994</v>
      </c>
      <c r="I9" s="12"/>
      <c r="J9" s="54"/>
      <c r="K9" s="68">
        <v>0.5</v>
      </c>
      <c r="L9" s="13">
        <f t="shared" si="3"/>
        <v>3025</v>
      </c>
      <c r="M9" s="13">
        <f t="shared" si="1"/>
        <v>756.25</v>
      </c>
      <c r="N9" s="13">
        <f t="shared" si="1"/>
        <v>189.0625</v>
      </c>
      <c r="O9" s="13">
        <f t="shared" si="1"/>
        <v>47.265625</v>
      </c>
      <c r="P9" s="13">
        <f t="shared" si="1"/>
        <v>17.015624999999993</v>
      </c>
    </row>
    <row r="10" spans="1:16" ht="16" customHeight="1">
      <c r="B10" s="54"/>
      <c r="C10" s="68">
        <v>0.6</v>
      </c>
      <c r="D10" s="13">
        <f t="shared" si="2"/>
        <v>6146.5599999999986</v>
      </c>
      <c r="E10" s="13">
        <f t="shared" si="0"/>
        <v>1536.6399999999996</v>
      </c>
      <c r="F10" s="13">
        <f t="shared" si="0"/>
        <v>384.15999999999991</v>
      </c>
      <c r="G10" s="13">
        <f t="shared" si="0"/>
        <v>96.039999999999978</v>
      </c>
      <c r="H10" s="13">
        <f t="shared" si="0"/>
        <v>34.57439999999999</v>
      </c>
      <c r="I10" s="12"/>
      <c r="J10" s="54"/>
      <c r="K10" s="68">
        <v>0.6</v>
      </c>
      <c r="L10" s="13">
        <f t="shared" si="3"/>
        <v>4356</v>
      </c>
      <c r="M10" s="13">
        <f t="shared" si="1"/>
        <v>1089</v>
      </c>
      <c r="N10" s="13">
        <f t="shared" si="1"/>
        <v>272.25</v>
      </c>
      <c r="O10" s="13">
        <f t="shared" si="1"/>
        <v>68.0625</v>
      </c>
      <c r="P10" s="13">
        <f t="shared" si="1"/>
        <v>24.502499999999991</v>
      </c>
    </row>
    <row r="11" spans="1:16" ht="16" customHeight="1">
      <c r="B11" s="54"/>
      <c r="C11" s="68">
        <v>0.7</v>
      </c>
      <c r="D11" s="13">
        <f t="shared" si="2"/>
        <v>8366.1511111111085</v>
      </c>
      <c r="E11" s="13">
        <f t="shared" si="0"/>
        <v>2091.5377777777771</v>
      </c>
      <c r="F11" s="13">
        <f t="shared" si="0"/>
        <v>522.88444444444428</v>
      </c>
      <c r="G11" s="13">
        <f t="shared" si="0"/>
        <v>130.72111111111107</v>
      </c>
      <c r="H11" s="13">
        <f t="shared" si="0"/>
        <v>47.059599999999982</v>
      </c>
      <c r="I11" s="12"/>
      <c r="J11" s="54"/>
      <c r="K11" s="68">
        <v>0.7</v>
      </c>
      <c r="L11" s="13">
        <f t="shared" si="3"/>
        <v>5928.9999999999991</v>
      </c>
      <c r="M11" s="13">
        <f t="shared" si="1"/>
        <v>1482.2499999999998</v>
      </c>
      <c r="N11" s="13">
        <f t="shared" si="1"/>
        <v>370.56249999999994</v>
      </c>
      <c r="O11" s="13">
        <f t="shared" si="1"/>
        <v>92.640624999999986</v>
      </c>
      <c r="P11" s="13">
        <f t="shared" si="1"/>
        <v>33.35062499999998</v>
      </c>
    </row>
    <row r="12" spans="1:16" ht="16" customHeight="1">
      <c r="B12" s="54"/>
      <c r="C12" s="68">
        <v>0.8</v>
      </c>
      <c r="D12" s="13">
        <f t="shared" si="2"/>
        <v>10927.217777777778</v>
      </c>
      <c r="E12" s="13">
        <f t="shared" si="0"/>
        <v>2731.8044444444445</v>
      </c>
      <c r="F12" s="13">
        <f t="shared" si="0"/>
        <v>682.95111111111112</v>
      </c>
      <c r="G12" s="13">
        <f t="shared" si="0"/>
        <v>170.73777777777778</v>
      </c>
      <c r="H12" s="13">
        <f t="shared" si="0"/>
        <v>61.465599999999995</v>
      </c>
      <c r="I12" s="12"/>
      <c r="J12" s="54"/>
      <c r="K12" s="68">
        <v>0.8</v>
      </c>
      <c r="L12" s="13">
        <f t="shared" si="3"/>
        <v>7744.0000000000018</v>
      </c>
      <c r="M12" s="13">
        <f t="shared" si="1"/>
        <v>1936.0000000000005</v>
      </c>
      <c r="N12" s="13">
        <f t="shared" si="1"/>
        <v>484.00000000000011</v>
      </c>
      <c r="O12" s="13">
        <f t="shared" si="1"/>
        <v>121.00000000000003</v>
      </c>
      <c r="P12" s="13">
        <f t="shared" si="1"/>
        <v>43.559999999999988</v>
      </c>
    </row>
    <row r="13" spans="1:16" ht="16" customHeight="1">
      <c r="B13" s="54"/>
      <c r="C13" s="68">
        <v>0.9</v>
      </c>
      <c r="D13" s="13">
        <f t="shared" si="2"/>
        <v>13829.759999999998</v>
      </c>
      <c r="E13" s="13">
        <f t="shared" si="0"/>
        <v>3457.4399999999996</v>
      </c>
      <c r="F13" s="13">
        <f t="shared" si="0"/>
        <v>864.3599999999999</v>
      </c>
      <c r="G13" s="13">
        <f t="shared" si="0"/>
        <v>216.08999999999997</v>
      </c>
      <c r="H13" s="13">
        <f t="shared" si="0"/>
        <v>77.792399999999986</v>
      </c>
      <c r="I13" s="12"/>
      <c r="J13" s="54"/>
      <c r="K13" s="68">
        <v>0.9</v>
      </c>
      <c r="L13" s="13">
        <f t="shared" si="3"/>
        <v>9801</v>
      </c>
      <c r="M13" s="13">
        <f t="shared" si="1"/>
        <v>2450.25</v>
      </c>
      <c r="N13" s="13">
        <f t="shared" si="1"/>
        <v>612.5625</v>
      </c>
      <c r="O13" s="13">
        <f t="shared" si="1"/>
        <v>153.140625</v>
      </c>
      <c r="P13" s="13">
        <f t="shared" si="1"/>
        <v>55.130624999999981</v>
      </c>
    </row>
    <row r="14" spans="1:16" ht="16" customHeight="1">
      <c r="B14" s="54"/>
      <c r="C14" s="68">
        <v>1</v>
      </c>
      <c r="D14" s="13">
        <f t="shared" si="2"/>
        <v>17073.777777777774</v>
      </c>
      <c r="E14" s="13">
        <f t="shared" si="0"/>
        <v>4268.4444444444434</v>
      </c>
      <c r="F14" s="13">
        <f t="shared" si="0"/>
        <v>1067.1111111111109</v>
      </c>
      <c r="G14" s="13">
        <f t="shared" si="0"/>
        <v>266.77777777777771</v>
      </c>
      <c r="H14" s="13">
        <f t="shared" si="0"/>
        <v>96.039999999999978</v>
      </c>
      <c r="I14" s="12"/>
      <c r="J14" s="54"/>
      <c r="K14" s="68">
        <v>1</v>
      </c>
      <c r="L14" s="13">
        <f t="shared" si="3"/>
        <v>12100</v>
      </c>
      <c r="M14" s="13">
        <f t="shared" si="1"/>
        <v>3025</v>
      </c>
      <c r="N14" s="13">
        <f t="shared" si="1"/>
        <v>756.25</v>
      </c>
      <c r="O14" s="13">
        <f t="shared" si="1"/>
        <v>189.0625</v>
      </c>
      <c r="P14" s="13">
        <f t="shared" si="1"/>
        <v>68.062499999999972</v>
      </c>
    </row>
    <row r="15" spans="1:16" ht="16" customHeight="1">
      <c r="B15" s="54"/>
      <c r="C15" s="68">
        <v>2</v>
      </c>
      <c r="D15" s="13">
        <f t="shared" si="2"/>
        <v>68295.111111111095</v>
      </c>
      <c r="E15" s="13">
        <f t="shared" si="0"/>
        <v>17073.777777777774</v>
      </c>
      <c r="F15" s="13">
        <f t="shared" si="0"/>
        <v>4268.4444444444434</v>
      </c>
      <c r="G15" s="13">
        <f t="shared" si="0"/>
        <v>1067.1111111111109</v>
      </c>
      <c r="H15" s="13">
        <f t="shared" si="0"/>
        <v>384.15999999999991</v>
      </c>
      <c r="I15" s="12"/>
      <c r="J15" s="54"/>
      <c r="K15" s="68">
        <v>2</v>
      </c>
      <c r="L15" s="13">
        <f t="shared" si="3"/>
        <v>48400</v>
      </c>
      <c r="M15" s="13">
        <f t="shared" si="1"/>
        <v>12100</v>
      </c>
      <c r="N15" s="13">
        <f t="shared" si="1"/>
        <v>3025</v>
      </c>
      <c r="O15" s="13">
        <f t="shared" si="1"/>
        <v>756.25</v>
      </c>
      <c r="P15" s="13">
        <f t="shared" si="1"/>
        <v>272.24999999999989</v>
      </c>
    </row>
    <row r="16" spans="1:16" ht="16" customHeight="1">
      <c r="B16" s="54"/>
      <c r="C16" s="68">
        <v>3</v>
      </c>
      <c r="D16" s="13">
        <f t="shared" si="2"/>
        <v>153663.99999999997</v>
      </c>
      <c r="E16" s="13">
        <f t="shared" si="0"/>
        <v>38415.999999999993</v>
      </c>
      <c r="F16" s="13">
        <f t="shared" si="0"/>
        <v>9603.9999999999982</v>
      </c>
      <c r="G16" s="13">
        <f t="shared" si="0"/>
        <v>2400.9999999999995</v>
      </c>
      <c r="H16" s="13">
        <f t="shared" si="0"/>
        <v>864.35999999999979</v>
      </c>
      <c r="I16" s="12"/>
      <c r="J16" s="54"/>
      <c r="K16" s="68">
        <v>3</v>
      </c>
      <c r="L16" s="13">
        <f t="shared" si="3"/>
        <v>108900</v>
      </c>
      <c r="M16" s="13">
        <f t="shared" si="1"/>
        <v>27225</v>
      </c>
      <c r="N16" s="13">
        <f t="shared" si="1"/>
        <v>6806.25</v>
      </c>
      <c r="O16" s="13">
        <f t="shared" si="1"/>
        <v>1701.5625</v>
      </c>
      <c r="P16" s="13">
        <f t="shared" si="1"/>
        <v>612.56249999999977</v>
      </c>
    </row>
    <row r="32" spans="6:13">
      <c r="F32" s="52" t="s">
        <v>57</v>
      </c>
      <c r="G32" s="52"/>
      <c r="H32" s="52"/>
      <c r="I32" s="52"/>
      <c r="J32" s="52"/>
      <c r="K32" s="52"/>
      <c r="L32" s="52"/>
      <c r="M32" s="52"/>
    </row>
    <row r="39" spans="14:14">
      <c r="N39" s="48"/>
    </row>
  </sheetData>
  <mergeCells count="6">
    <mergeCell ref="A1:P1"/>
    <mergeCell ref="F32:M32"/>
    <mergeCell ref="D3:H3"/>
    <mergeCell ref="L3:P3"/>
    <mergeCell ref="B5:B16"/>
    <mergeCell ref="J5:J16"/>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zoomScale="90" zoomScaleNormal="90" zoomScalePageLayoutView="90" workbookViewId="0">
      <selection activeCell="E7" sqref="E7"/>
    </sheetView>
  </sheetViews>
  <sheetFormatPr baseColWidth="10" defaultColWidth="10.83203125" defaultRowHeight="16"/>
  <cols>
    <col min="1" max="1" width="13.83203125" style="2" customWidth="1"/>
    <col min="2" max="2" width="13.5" style="2" customWidth="1"/>
    <col min="3" max="3" width="10.83203125" style="2"/>
    <col min="4" max="4" width="14.5" style="2" customWidth="1"/>
    <col min="5" max="5" width="15.33203125" style="2" customWidth="1"/>
    <col min="6" max="6" width="14.5" style="2" customWidth="1"/>
    <col min="7" max="7" width="78" style="2" customWidth="1"/>
    <col min="8" max="16384" width="10.83203125" style="2"/>
  </cols>
  <sheetData>
    <row r="1" spans="1:8" ht="15.75" customHeight="1">
      <c r="A1" s="55" t="s">
        <v>3</v>
      </c>
      <c r="B1" s="55"/>
      <c r="C1" s="55"/>
      <c r="D1" s="55"/>
      <c r="E1" s="55"/>
      <c r="F1" s="15"/>
      <c r="G1" s="15"/>
      <c r="H1" s="15"/>
    </row>
    <row r="2" spans="1:8" ht="15.75" customHeight="1">
      <c r="A2" s="56"/>
      <c r="B2" s="56"/>
      <c r="C2" s="56"/>
      <c r="D2" s="56"/>
      <c r="E2" s="56"/>
      <c r="F2" s="15"/>
      <c r="G2" s="15"/>
      <c r="H2" s="15"/>
    </row>
    <row r="3" spans="1:8" ht="12" customHeight="1">
      <c r="A3" s="56"/>
      <c r="B3" s="56"/>
      <c r="C3" s="56"/>
      <c r="D3" s="56"/>
      <c r="E3" s="56"/>
      <c r="F3" s="15"/>
      <c r="G3" s="15"/>
      <c r="H3" s="15"/>
    </row>
    <row r="4" spans="1:8">
      <c r="A4" s="57"/>
      <c r="B4" s="57"/>
      <c r="C4" s="57"/>
      <c r="D4" s="57"/>
      <c r="E4" s="57"/>
      <c r="F4" s="5"/>
    </row>
    <row r="5" spans="1:8" ht="18">
      <c r="A5" s="25"/>
      <c r="B5" s="25"/>
      <c r="C5" s="25"/>
      <c r="D5" s="25"/>
      <c r="E5" s="25"/>
      <c r="F5" s="5"/>
      <c r="G5" s="2" t="s">
        <v>39</v>
      </c>
    </row>
    <row r="6" spans="1:8" ht="34">
      <c r="A6" s="26" t="s">
        <v>4</v>
      </c>
      <c r="B6" s="26" t="s">
        <v>5</v>
      </c>
      <c r="C6" s="27" t="s">
        <v>6</v>
      </c>
      <c r="D6" s="27" t="s">
        <v>7</v>
      </c>
      <c r="E6" s="27" t="s">
        <v>8</v>
      </c>
      <c r="F6" s="50"/>
      <c r="G6" s="2" t="s">
        <v>29</v>
      </c>
    </row>
    <row r="7" spans="1:8">
      <c r="A7" s="28">
        <v>0.41319444444444442</v>
      </c>
      <c r="B7" s="28">
        <v>0.43402777777777773</v>
      </c>
      <c r="C7" s="45">
        <f>B7-A7</f>
        <v>2.0833333333333315E-2</v>
      </c>
      <c r="D7" s="29">
        <v>26</v>
      </c>
      <c r="E7" s="50">
        <f>(D7/C7 )/(60* 24)</f>
        <v>0.86666666666666747</v>
      </c>
      <c r="F7" s="50"/>
      <c r="G7" s="2" t="s">
        <v>32</v>
      </c>
    </row>
    <row r="8" spans="1:8">
      <c r="A8" s="28">
        <v>0.41666666666666669</v>
      </c>
      <c r="B8" s="28">
        <v>0.45833333333333331</v>
      </c>
      <c r="C8" s="45">
        <f t="shared" ref="C8:C15" si="0">B8-A8</f>
        <v>4.166666666666663E-2</v>
      </c>
      <c r="D8" s="29">
        <v>38</v>
      </c>
      <c r="E8" s="50">
        <f t="shared" ref="E8:E15" si="1">(D8/C8 )/(60* 24)</f>
        <v>0.63333333333333386</v>
      </c>
      <c r="F8" s="50"/>
      <c r="G8" s="2" t="s">
        <v>30</v>
      </c>
    </row>
    <row r="9" spans="1:8">
      <c r="A9" s="28">
        <v>0.42013888888888901</v>
      </c>
      <c r="B9" s="28">
        <v>0.48263888888888901</v>
      </c>
      <c r="C9" s="45">
        <f t="shared" si="0"/>
        <v>6.25E-2</v>
      </c>
      <c r="D9" s="29">
        <v>48</v>
      </c>
      <c r="E9" s="50">
        <f t="shared" si="1"/>
        <v>0.53333333333333333</v>
      </c>
      <c r="F9" s="50"/>
      <c r="G9" s="2" t="s">
        <v>31</v>
      </c>
    </row>
    <row r="10" spans="1:8">
      <c r="A10" s="28">
        <v>0.42361111111111099</v>
      </c>
      <c r="B10" s="28">
        <v>0.50694444444444398</v>
      </c>
      <c r="C10" s="45">
        <f t="shared" si="0"/>
        <v>8.3333333333332982E-2</v>
      </c>
      <c r="D10" s="29">
        <v>57</v>
      </c>
      <c r="E10" s="50">
        <f t="shared" si="1"/>
        <v>0.47500000000000198</v>
      </c>
      <c r="F10" s="50"/>
    </row>
    <row r="11" spans="1:8">
      <c r="A11" s="28">
        <v>0.42708333333333398</v>
      </c>
      <c r="B11" s="28">
        <v>0.53125</v>
      </c>
      <c r="C11" s="45">
        <f t="shared" si="0"/>
        <v>0.10416666666666602</v>
      </c>
      <c r="D11" s="29">
        <v>65</v>
      </c>
      <c r="E11" s="50">
        <f t="shared" si="1"/>
        <v>0.43333333333333601</v>
      </c>
      <c r="F11" s="50"/>
      <c r="G11" s="2" t="s">
        <v>34</v>
      </c>
    </row>
    <row r="12" spans="1:8">
      <c r="A12" s="28">
        <v>0.43055555555555602</v>
      </c>
      <c r="B12" s="28">
        <v>0.55555555555555602</v>
      </c>
      <c r="C12" s="45">
        <f t="shared" si="0"/>
        <v>0.125</v>
      </c>
      <c r="D12" s="29">
        <v>74</v>
      </c>
      <c r="E12" s="50">
        <f t="shared" si="1"/>
        <v>0.41111111111111109</v>
      </c>
      <c r="F12" s="50"/>
      <c r="G12" s="2" t="s">
        <v>33</v>
      </c>
    </row>
    <row r="13" spans="1:8">
      <c r="A13" s="28">
        <v>0.43402777777777801</v>
      </c>
      <c r="B13" s="28">
        <v>0.57986111111111105</v>
      </c>
      <c r="C13" s="45">
        <f t="shared" si="0"/>
        <v>0.14583333333333304</v>
      </c>
      <c r="D13" s="29">
        <v>81</v>
      </c>
      <c r="E13" s="50">
        <f t="shared" si="1"/>
        <v>0.38571428571428651</v>
      </c>
      <c r="F13" s="50"/>
    </row>
    <row r="14" spans="1:8">
      <c r="A14" s="28">
        <v>0.4375</v>
      </c>
      <c r="B14" s="28">
        <v>0.60416666666666696</v>
      </c>
      <c r="C14" s="45">
        <f t="shared" si="0"/>
        <v>0.16666666666666696</v>
      </c>
      <c r="D14" s="29">
        <v>86</v>
      </c>
      <c r="E14" s="50">
        <f t="shared" si="1"/>
        <v>0.35833333333333273</v>
      </c>
      <c r="F14" s="50"/>
      <c r="G14" s="2" t="s">
        <v>35</v>
      </c>
    </row>
    <row r="15" spans="1:8">
      <c r="A15" s="28">
        <v>0.44097222222222299</v>
      </c>
      <c r="B15" s="28">
        <v>0.62847222222222299</v>
      </c>
      <c r="C15" s="45">
        <f t="shared" si="0"/>
        <v>0.1875</v>
      </c>
      <c r="D15" s="29">
        <v>90</v>
      </c>
      <c r="E15" s="50">
        <f t="shared" si="1"/>
        <v>0.33333333333333331</v>
      </c>
      <c r="F15" s="50"/>
      <c r="G15" s="2" t="s">
        <v>36</v>
      </c>
    </row>
    <row r="18" spans="7:7">
      <c r="G18" s="2" t="s">
        <v>56</v>
      </c>
    </row>
  </sheetData>
  <mergeCells count="1">
    <mergeCell ref="A1:E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9"/>
  <sheetViews>
    <sheetView zoomScale="90" zoomScaleNormal="90" zoomScalePageLayoutView="90" workbookViewId="0">
      <selection activeCell="E32" sqref="E32"/>
    </sheetView>
  </sheetViews>
  <sheetFormatPr baseColWidth="10" defaultColWidth="10.83203125" defaultRowHeight="16"/>
  <cols>
    <col min="1" max="1" width="10.6640625" style="2" customWidth="1"/>
    <col min="2" max="5" width="10.83203125" style="2"/>
    <col min="6" max="6" width="72.33203125" style="2" customWidth="1"/>
    <col min="7" max="16384" width="10.83203125" style="2"/>
  </cols>
  <sheetData>
    <row r="1" spans="1:9" ht="18" customHeight="1">
      <c r="A1" s="58" t="s">
        <v>9</v>
      </c>
      <c r="B1" s="58"/>
      <c r="C1" s="58"/>
      <c r="D1" s="58"/>
      <c r="E1" s="1"/>
      <c r="F1" s="1"/>
      <c r="G1" s="1"/>
      <c r="H1" s="1"/>
      <c r="I1" s="1"/>
    </row>
    <row r="2" spans="1:9">
      <c r="A2" s="58"/>
      <c r="B2" s="58"/>
      <c r="C2" s="58"/>
      <c r="D2" s="58"/>
      <c r="E2" s="1"/>
      <c r="F2" s="1"/>
      <c r="G2" s="1"/>
      <c r="H2" s="1"/>
      <c r="I2" s="1"/>
    </row>
    <row r="3" spans="1:9" ht="18">
      <c r="A3" s="30"/>
      <c r="B3" s="30"/>
      <c r="C3" s="30"/>
      <c r="D3" s="30"/>
      <c r="E3" s="1"/>
      <c r="F3" s="1"/>
      <c r="G3" s="1"/>
      <c r="H3" s="1"/>
      <c r="I3" s="1"/>
    </row>
    <row r="4" spans="1:9">
      <c r="A4" s="16"/>
      <c r="B4" s="11" t="s">
        <v>10</v>
      </c>
      <c r="C4" s="11" t="s">
        <v>11</v>
      </c>
      <c r="D4" s="11" t="s">
        <v>12</v>
      </c>
      <c r="F4" s="2" t="s">
        <v>38</v>
      </c>
    </row>
    <row r="5" spans="1:9">
      <c r="A5" s="17" t="s">
        <v>13</v>
      </c>
      <c r="B5" s="18">
        <v>47</v>
      </c>
      <c r="C5" s="18">
        <v>37</v>
      </c>
      <c r="D5" s="18">
        <v>16</v>
      </c>
      <c r="F5" s="2" t="s">
        <v>55</v>
      </c>
    </row>
    <row r="6" spans="1:9">
      <c r="A6" s="17" t="s">
        <v>14</v>
      </c>
      <c r="B6" s="18">
        <v>60</v>
      </c>
      <c r="C6" s="18">
        <v>21</v>
      </c>
      <c r="D6" s="18">
        <v>19</v>
      </c>
    </row>
    <row r="7" spans="1:9">
      <c r="A7" s="1"/>
      <c r="B7" s="1"/>
      <c r="C7" s="1"/>
      <c r="D7" s="1"/>
    </row>
    <row r="8" spans="1:9">
      <c r="A8" s="1"/>
      <c r="B8" s="1"/>
      <c r="C8" s="1"/>
      <c r="D8" s="1"/>
    </row>
    <row r="9" spans="1:9">
      <c r="A9" s="1"/>
      <c r="B9" s="1"/>
      <c r="C9" s="1"/>
      <c r="D9" s="1"/>
    </row>
    <row r="10" spans="1:9">
      <c r="A10" s="1"/>
      <c r="B10" s="1"/>
      <c r="C10" s="1"/>
      <c r="D10" s="1"/>
    </row>
    <row r="11" spans="1:9">
      <c r="A11" s="1"/>
      <c r="B11" s="1"/>
      <c r="C11" s="1"/>
      <c r="D11" s="1"/>
    </row>
    <row r="12" spans="1:9">
      <c r="A12" s="1"/>
      <c r="B12" s="1"/>
      <c r="C12" s="1"/>
      <c r="D12" s="1"/>
    </row>
    <row r="13" spans="1:9">
      <c r="A13" s="1"/>
      <c r="B13" s="1"/>
      <c r="C13" s="1"/>
      <c r="D13" s="1"/>
    </row>
    <row r="14" spans="1:9">
      <c r="A14" s="1"/>
      <c r="B14" s="1"/>
      <c r="C14" s="1"/>
      <c r="D14" s="1"/>
    </row>
    <row r="15" spans="1:9">
      <c r="A15" s="1"/>
      <c r="B15" s="1"/>
      <c r="C15" s="1"/>
      <c r="D15" s="1"/>
    </row>
    <row r="16" spans="1:9">
      <c r="A16" s="1"/>
      <c r="B16" s="1"/>
      <c r="C16" s="1"/>
      <c r="D16" s="1"/>
    </row>
    <row r="17" spans="1:4">
      <c r="A17" s="1"/>
      <c r="B17" s="1"/>
      <c r="C17" s="1"/>
      <c r="D17" s="1"/>
    </row>
    <row r="18" spans="1:4">
      <c r="A18" s="1"/>
      <c r="B18" s="1"/>
      <c r="C18" s="1"/>
      <c r="D18" s="1"/>
    </row>
    <row r="19" spans="1:4">
      <c r="A19" s="1"/>
      <c r="B19" s="1"/>
      <c r="C19" s="1"/>
      <c r="D19" s="1"/>
    </row>
  </sheetData>
  <mergeCells count="1">
    <mergeCell ref="A1:D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7"/>
  <sheetViews>
    <sheetView zoomScale="90" zoomScaleNormal="90" zoomScalePageLayoutView="90" workbookViewId="0">
      <selection sqref="A1:B17"/>
    </sheetView>
  </sheetViews>
  <sheetFormatPr baseColWidth="10" defaultColWidth="8.83203125" defaultRowHeight="16"/>
  <cols>
    <col min="1" max="1" width="13" style="3" customWidth="1"/>
    <col min="2" max="2" width="16.33203125" style="3" customWidth="1"/>
    <col min="3" max="13" width="8.83203125" style="3"/>
    <col min="14" max="14" width="66.5" style="3" customWidth="1"/>
    <col min="15" max="16384" width="8.83203125" style="3"/>
  </cols>
  <sheetData>
    <row r="1" spans="1:14" ht="15" customHeight="1">
      <c r="A1" s="59" t="s">
        <v>15</v>
      </c>
      <c r="B1" s="59"/>
    </row>
    <row r="2" spans="1:14" ht="15" customHeight="1">
      <c r="A2" s="59"/>
      <c r="B2" s="59"/>
    </row>
    <row r="3" spans="1:14" ht="15" customHeight="1">
      <c r="A3" s="59"/>
      <c r="B3" s="59"/>
    </row>
    <row r="4" spans="1:14" ht="15" customHeight="1">
      <c r="A4" s="59"/>
      <c r="B4" s="59"/>
    </row>
    <row r="5" spans="1:14" ht="15" customHeight="1">
      <c r="A5" s="59"/>
      <c r="B5" s="59"/>
    </row>
    <row r="6" spans="1:14">
      <c r="A6" s="59"/>
      <c r="B6" s="59"/>
    </row>
    <row r="7" spans="1:14">
      <c r="A7" s="43"/>
      <c r="B7" s="43"/>
      <c r="D7" s="3" t="s">
        <v>37</v>
      </c>
    </row>
    <row r="8" spans="1:14">
      <c r="A8" s="19" t="s">
        <v>16</v>
      </c>
      <c r="B8" s="19" t="s">
        <v>17</v>
      </c>
      <c r="N8" s="2" t="s">
        <v>54</v>
      </c>
    </row>
    <row r="9" spans="1:14">
      <c r="A9" s="20">
        <v>117</v>
      </c>
      <c r="B9" s="21">
        <v>8.5</v>
      </c>
    </row>
    <row r="10" spans="1:14">
      <c r="A10" s="20">
        <v>108</v>
      </c>
      <c r="B10" s="21">
        <v>7.7</v>
      </c>
    </row>
    <row r="11" spans="1:14">
      <c r="A11" s="20">
        <v>103</v>
      </c>
      <c r="B11" s="21">
        <v>7.5</v>
      </c>
    </row>
    <row r="12" spans="1:14">
      <c r="A12" s="20">
        <v>99</v>
      </c>
      <c r="B12" s="21">
        <v>7.2</v>
      </c>
    </row>
    <row r="13" spans="1:14">
      <c r="A13" s="20">
        <v>96</v>
      </c>
      <c r="B13" s="21">
        <v>6.5</v>
      </c>
    </row>
    <row r="14" spans="1:14">
      <c r="A14" s="20">
        <v>93</v>
      </c>
      <c r="B14" s="21">
        <v>7.3</v>
      </c>
    </row>
    <row r="15" spans="1:14">
      <c r="A15" s="20">
        <v>92</v>
      </c>
      <c r="B15" s="21">
        <v>6.7</v>
      </c>
    </row>
    <row r="16" spans="1:14">
      <c r="A16" s="20">
        <v>86</v>
      </c>
      <c r="B16" s="21">
        <v>5.4</v>
      </c>
    </row>
    <row r="17" spans="1:2">
      <c r="A17" s="20">
        <v>80</v>
      </c>
      <c r="B17" s="21">
        <v>5.0999999999999996</v>
      </c>
    </row>
  </sheetData>
  <sortState xmlns:xlrd2="http://schemas.microsoft.com/office/spreadsheetml/2017/richdata2" ref="A4:B12">
    <sortCondition ref="A4"/>
  </sortState>
  <mergeCells count="1">
    <mergeCell ref="A1: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5"/>
  <sheetViews>
    <sheetView zoomScale="90" zoomScaleNormal="90" zoomScalePageLayoutView="90" workbookViewId="0">
      <selection activeCell="A17" sqref="A17"/>
    </sheetView>
  </sheetViews>
  <sheetFormatPr baseColWidth="10" defaultColWidth="8.83203125" defaultRowHeight="13"/>
  <cols>
    <col min="1" max="1" width="23.5" style="4" customWidth="1"/>
    <col min="2" max="2" width="17.6640625" style="4" customWidth="1"/>
    <col min="3" max="3" width="12.5" style="4" customWidth="1"/>
    <col min="4" max="14" width="8.83203125" style="4"/>
    <col min="15" max="15" width="53.5" style="4" customWidth="1"/>
    <col min="16" max="256" width="8.83203125" style="4"/>
    <col min="257" max="257" width="13.33203125" style="4" bestFit="1" customWidth="1"/>
    <col min="258" max="258" width="10.6640625" style="4" bestFit="1" customWidth="1"/>
    <col min="259" max="512" width="8.83203125" style="4"/>
    <col min="513" max="513" width="13.33203125" style="4" bestFit="1" customWidth="1"/>
    <col min="514" max="514" width="10.6640625" style="4" bestFit="1" customWidth="1"/>
    <col min="515" max="768" width="8.83203125" style="4"/>
    <col min="769" max="769" width="13.33203125" style="4" bestFit="1" customWidth="1"/>
    <col min="770" max="770" width="10.6640625" style="4" bestFit="1" customWidth="1"/>
    <col min="771" max="1024" width="8.83203125" style="4"/>
    <col min="1025" max="1025" width="13.33203125" style="4" bestFit="1" customWidth="1"/>
    <col min="1026" max="1026" width="10.6640625" style="4" bestFit="1" customWidth="1"/>
    <col min="1027" max="1280" width="8.83203125" style="4"/>
    <col min="1281" max="1281" width="13.33203125" style="4" bestFit="1" customWidth="1"/>
    <col min="1282" max="1282" width="10.6640625" style="4" bestFit="1" customWidth="1"/>
    <col min="1283" max="1536" width="8.83203125" style="4"/>
    <col min="1537" max="1537" width="13.33203125" style="4" bestFit="1" customWidth="1"/>
    <col min="1538" max="1538" width="10.6640625" style="4" bestFit="1" customWidth="1"/>
    <col min="1539" max="1792" width="8.83203125" style="4"/>
    <col min="1793" max="1793" width="13.33203125" style="4" bestFit="1" customWidth="1"/>
    <col min="1794" max="1794" width="10.6640625" style="4" bestFit="1" customWidth="1"/>
    <col min="1795" max="2048" width="8.83203125" style="4"/>
    <col min="2049" max="2049" width="13.33203125" style="4" bestFit="1" customWidth="1"/>
    <col min="2050" max="2050" width="10.6640625" style="4" bestFit="1" customWidth="1"/>
    <col min="2051" max="2304" width="8.83203125" style="4"/>
    <col min="2305" max="2305" width="13.33203125" style="4" bestFit="1" customWidth="1"/>
    <col min="2306" max="2306" width="10.6640625" style="4" bestFit="1" customWidth="1"/>
    <col min="2307" max="2560" width="8.83203125" style="4"/>
    <col min="2561" max="2561" width="13.33203125" style="4" bestFit="1" customWidth="1"/>
    <col min="2562" max="2562" width="10.6640625" style="4" bestFit="1" customWidth="1"/>
    <col min="2563" max="2816" width="8.83203125" style="4"/>
    <col min="2817" max="2817" width="13.33203125" style="4" bestFit="1" customWidth="1"/>
    <col min="2818" max="2818" width="10.6640625" style="4" bestFit="1" customWidth="1"/>
    <col min="2819" max="3072" width="8.83203125" style="4"/>
    <col min="3073" max="3073" width="13.33203125" style="4" bestFit="1" customWidth="1"/>
    <col min="3074" max="3074" width="10.6640625" style="4" bestFit="1" customWidth="1"/>
    <col min="3075" max="3328" width="8.83203125" style="4"/>
    <col min="3329" max="3329" width="13.33203125" style="4" bestFit="1" customWidth="1"/>
    <col min="3330" max="3330" width="10.6640625" style="4" bestFit="1" customWidth="1"/>
    <col min="3331" max="3584" width="8.83203125" style="4"/>
    <col min="3585" max="3585" width="13.33203125" style="4" bestFit="1" customWidth="1"/>
    <col min="3586" max="3586" width="10.6640625" style="4" bestFit="1" customWidth="1"/>
    <col min="3587" max="3840" width="8.83203125" style="4"/>
    <col min="3841" max="3841" width="13.33203125" style="4" bestFit="1" customWidth="1"/>
    <col min="3842" max="3842" width="10.6640625" style="4" bestFit="1" customWidth="1"/>
    <col min="3843" max="4096" width="8.83203125" style="4"/>
    <col min="4097" max="4097" width="13.33203125" style="4" bestFit="1" customWidth="1"/>
    <col min="4098" max="4098" width="10.6640625" style="4" bestFit="1" customWidth="1"/>
    <col min="4099" max="4352" width="8.83203125" style="4"/>
    <col min="4353" max="4353" width="13.33203125" style="4" bestFit="1" customWidth="1"/>
    <col min="4354" max="4354" width="10.6640625" style="4" bestFit="1" customWidth="1"/>
    <col min="4355" max="4608" width="8.83203125" style="4"/>
    <col min="4609" max="4609" width="13.33203125" style="4" bestFit="1" customWidth="1"/>
    <col min="4610" max="4610" width="10.6640625" style="4" bestFit="1" customWidth="1"/>
    <col min="4611" max="4864" width="8.83203125" style="4"/>
    <col min="4865" max="4865" width="13.33203125" style="4" bestFit="1" customWidth="1"/>
    <col min="4866" max="4866" width="10.6640625" style="4" bestFit="1" customWidth="1"/>
    <col min="4867" max="5120" width="8.83203125" style="4"/>
    <col min="5121" max="5121" width="13.33203125" style="4" bestFit="1" customWidth="1"/>
    <col min="5122" max="5122" width="10.6640625" style="4" bestFit="1" customWidth="1"/>
    <col min="5123" max="5376" width="8.83203125" style="4"/>
    <col min="5377" max="5377" width="13.33203125" style="4" bestFit="1" customWidth="1"/>
    <col min="5378" max="5378" width="10.6640625" style="4" bestFit="1" customWidth="1"/>
    <col min="5379" max="5632" width="8.83203125" style="4"/>
    <col min="5633" max="5633" width="13.33203125" style="4" bestFit="1" customWidth="1"/>
    <col min="5634" max="5634" width="10.6640625" style="4" bestFit="1" customWidth="1"/>
    <col min="5635" max="5888" width="8.83203125" style="4"/>
    <col min="5889" max="5889" width="13.33203125" style="4" bestFit="1" customWidth="1"/>
    <col min="5890" max="5890" width="10.6640625" style="4" bestFit="1" customWidth="1"/>
    <col min="5891" max="6144" width="8.83203125" style="4"/>
    <col min="6145" max="6145" width="13.33203125" style="4" bestFit="1" customWidth="1"/>
    <col min="6146" max="6146" width="10.6640625" style="4" bestFit="1" customWidth="1"/>
    <col min="6147" max="6400" width="8.83203125" style="4"/>
    <col min="6401" max="6401" width="13.33203125" style="4" bestFit="1" customWidth="1"/>
    <col min="6402" max="6402" width="10.6640625" style="4" bestFit="1" customWidth="1"/>
    <col min="6403" max="6656" width="8.83203125" style="4"/>
    <col min="6657" max="6657" width="13.33203125" style="4" bestFit="1" customWidth="1"/>
    <col min="6658" max="6658" width="10.6640625" style="4" bestFit="1" customWidth="1"/>
    <col min="6659" max="6912" width="8.83203125" style="4"/>
    <col min="6913" max="6913" width="13.33203125" style="4" bestFit="1" customWidth="1"/>
    <col min="6914" max="6914" width="10.6640625" style="4" bestFit="1" customWidth="1"/>
    <col min="6915" max="7168" width="8.83203125" style="4"/>
    <col min="7169" max="7169" width="13.33203125" style="4" bestFit="1" customWidth="1"/>
    <col min="7170" max="7170" width="10.6640625" style="4" bestFit="1" customWidth="1"/>
    <col min="7171" max="7424" width="8.83203125" style="4"/>
    <col min="7425" max="7425" width="13.33203125" style="4" bestFit="1" customWidth="1"/>
    <col min="7426" max="7426" width="10.6640625" style="4" bestFit="1" customWidth="1"/>
    <col min="7427" max="7680" width="8.83203125" style="4"/>
    <col min="7681" max="7681" width="13.33203125" style="4" bestFit="1" customWidth="1"/>
    <col min="7682" max="7682" width="10.6640625" style="4" bestFit="1" customWidth="1"/>
    <col min="7683" max="7936" width="8.83203125" style="4"/>
    <col min="7937" max="7937" width="13.33203125" style="4" bestFit="1" customWidth="1"/>
    <col min="7938" max="7938" width="10.6640625" style="4" bestFit="1" customWidth="1"/>
    <col min="7939" max="8192" width="8.83203125" style="4"/>
    <col min="8193" max="8193" width="13.33203125" style="4" bestFit="1" customWidth="1"/>
    <col min="8194" max="8194" width="10.6640625" style="4" bestFit="1" customWidth="1"/>
    <col min="8195" max="8448" width="8.83203125" style="4"/>
    <col min="8449" max="8449" width="13.33203125" style="4" bestFit="1" customWidth="1"/>
    <col min="8450" max="8450" width="10.6640625" style="4" bestFit="1" customWidth="1"/>
    <col min="8451" max="8704" width="8.83203125" style="4"/>
    <col min="8705" max="8705" width="13.33203125" style="4" bestFit="1" customWidth="1"/>
    <col min="8706" max="8706" width="10.6640625" style="4" bestFit="1" customWidth="1"/>
    <col min="8707" max="8960" width="8.83203125" style="4"/>
    <col min="8961" max="8961" width="13.33203125" style="4" bestFit="1" customWidth="1"/>
    <col min="8962" max="8962" width="10.6640625" style="4" bestFit="1" customWidth="1"/>
    <col min="8963" max="9216" width="8.83203125" style="4"/>
    <col min="9217" max="9217" width="13.33203125" style="4" bestFit="1" customWidth="1"/>
    <col min="9218" max="9218" width="10.6640625" style="4" bestFit="1" customWidth="1"/>
    <col min="9219" max="9472" width="8.83203125" style="4"/>
    <col min="9473" max="9473" width="13.33203125" style="4" bestFit="1" customWidth="1"/>
    <col min="9474" max="9474" width="10.6640625" style="4" bestFit="1" customWidth="1"/>
    <col min="9475" max="9728" width="8.83203125" style="4"/>
    <col min="9729" max="9729" width="13.33203125" style="4" bestFit="1" customWidth="1"/>
    <col min="9730" max="9730" width="10.6640625" style="4" bestFit="1" customWidth="1"/>
    <col min="9731" max="9984" width="8.83203125" style="4"/>
    <col min="9985" max="9985" width="13.33203125" style="4" bestFit="1" customWidth="1"/>
    <col min="9986" max="9986" width="10.6640625" style="4" bestFit="1" customWidth="1"/>
    <col min="9987" max="10240" width="8.83203125" style="4"/>
    <col min="10241" max="10241" width="13.33203125" style="4" bestFit="1" customWidth="1"/>
    <col min="10242" max="10242" width="10.6640625" style="4" bestFit="1" customWidth="1"/>
    <col min="10243" max="10496" width="8.83203125" style="4"/>
    <col min="10497" max="10497" width="13.33203125" style="4" bestFit="1" customWidth="1"/>
    <col min="10498" max="10498" width="10.6640625" style="4" bestFit="1" customWidth="1"/>
    <col min="10499" max="10752" width="8.83203125" style="4"/>
    <col min="10753" max="10753" width="13.33203125" style="4" bestFit="1" customWidth="1"/>
    <col min="10754" max="10754" width="10.6640625" style="4" bestFit="1" customWidth="1"/>
    <col min="10755" max="11008" width="8.83203125" style="4"/>
    <col min="11009" max="11009" width="13.33203125" style="4" bestFit="1" customWidth="1"/>
    <col min="11010" max="11010" width="10.6640625" style="4" bestFit="1" customWidth="1"/>
    <col min="11011" max="11264" width="8.83203125" style="4"/>
    <col min="11265" max="11265" width="13.33203125" style="4" bestFit="1" customWidth="1"/>
    <col min="11266" max="11266" width="10.6640625" style="4" bestFit="1" customWidth="1"/>
    <col min="11267" max="11520" width="8.83203125" style="4"/>
    <col min="11521" max="11521" width="13.33203125" style="4" bestFit="1" customWidth="1"/>
    <col min="11522" max="11522" width="10.6640625" style="4" bestFit="1" customWidth="1"/>
    <col min="11523" max="11776" width="8.83203125" style="4"/>
    <col min="11777" max="11777" width="13.33203125" style="4" bestFit="1" customWidth="1"/>
    <col min="11778" max="11778" width="10.6640625" style="4" bestFit="1" customWidth="1"/>
    <col min="11779" max="12032" width="8.83203125" style="4"/>
    <col min="12033" max="12033" width="13.33203125" style="4" bestFit="1" customWidth="1"/>
    <col min="12034" max="12034" width="10.6640625" style="4" bestFit="1" customWidth="1"/>
    <col min="12035" max="12288" width="8.83203125" style="4"/>
    <col min="12289" max="12289" width="13.33203125" style="4" bestFit="1" customWidth="1"/>
    <col min="12290" max="12290" width="10.6640625" style="4" bestFit="1" customWidth="1"/>
    <col min="12291" max="12544" width="8.83203125" style="4"/>
    <col min="12545" max="12545" width="13.33203125" style="4" bestFit="1" customWidth="1"/>
    <col min="12546" max="12546" width="10.6640625" style="4" bestFit="1" customWidth="1"/>
    <col min="12547" max="12800" width="8.83203125" style="4"/>
    <col min="12801" max="12801" width="13.33203125" style="4" bestFit="1" customWidth="1"/>
    <col min="12802" max="12802" width="10.6640625" style="4" bestFit="1" customWidth="1"/>
    <col min="12803" max="13056" width="8.83203125" style="4"/>
    <col min="13057" max="13057" width="13.33203125" style="4" bestFit="1" customWidth="1"/>
    <col min="13058" max="13058" width="10.6640625" style="4" bestFit="1" customWidth="1"/>
    <col min="13059" max="13312" width="8.83203125" style="4"/>
    <col min="13313" max="13313" width="13.33203125" style="4" bestFit="1" customWidth="1"/>
    <col min="13314" max="13314" width="10.6640625" style="4" bestFit="1" customWidth="1"/>
    <col min="13315" max="13568" width="8.83203125" style="4"/>
    <col min="13569" max="13569" width="13.33203125" style="4" bestFit="1" customWidth="1"/>
    <col min="13570" max="13570" width="10.6640625" style="4" bestFit="1" customWidth="1"/>
    <col min="13571" max="13824" width="8.83203125" style="4"/>
    <col min="13825" max="13825" width="13.33203125" style="4" bestFit="1" customWidth="1"/>
    <col min="13826" max="13826" width="10.6640625" style="4" bestFit="1" customWidth="1"/>
    <col min="13827" max="14080" width="8.83203125" style="4"/>
    <col min="14081" max="14081" width="13.33203125" style="4" bestFit="1" customWidth="1"/>
    <col min="14082" max="14082" width="10.6640625" style="4" bestFit="1" customWidth="1"/>
    <col min="14083" max="14336" width="8.83203125" style="4"/>
    <col min="14337" max="14337" width="13.33203125" style="4" bestFit="1" customWidth="1"/>
    <col min="14338" max="14338" width="10.6640625" style="4" bestFit="1" customWidth="1"/>
    <col min="14339" max="14592" width="8.83203125" style="4"/>
    <col min="14593" max="14593" width="13.33203125" style="4" bestFit="1" customWidth="1"/>
    <col min="14594" max="14594" width="10.6640625" style="4" bestFit="1" customWidth="1"/>
    <col min="14595" max="14848" width="8.83203125" style="4"/>
    <col min="14849" max="14849" width="13.33203125" style="4" bestFit="1" customWidth="1"/>
    <col min="14850" max="14850" width="10.6640625" style="4" bestFit="1" customWidth="1"/>
    <col min="14851" max="15104" width="8.83203125" style="4"/>
    <col min="15105" max="15105" width="13.33203125" style="4" bestFit="1" customWidth="1"/>
    <col min="15106" max="15106" width="10.6640625" style="4" bestFit="1" customWidth="1"/>
    <col min="15107" max="15360" width="8.83203125" style="4"/>
    <col min="15361" max="15361" width="13.33203125" style="4" bestFit="1" customWidth="1"/>
    <col min="15362" max="15362" width="10.6640625" style="4" bestFit="1" customWidth="1"/>
    <col min="15363" max="15616" width="8.83203125" style="4"/>
    <col min="15617" max="15617" width="13.33203125" style="4" bestFit="1" customWidth="1"/>
    <col min="15618" max="15618" width="10.6640625" style="4" bestFit="1" customWidth="1"/>
    <col min="15619" max="15872" width="8.83203125" style="4"/>
    <col min="15873" max="15873" width="13.33203125" style="4" bestFit="1" customWidth="1"/>
    <col min="15874" max="15874" width="10.6640625" style="4" bestFit="1" customWidth="1"/>
    <col min="15875" max="16128" width="8.83203125" style="4"/>
    <col min="16129" max="16129" width="13.33203125" style="4" bestFit="1" customWidth="1"/>
    <col min="16130" max="16130" width="10.6640625" style="4" bestFit="1" customWidth="1"/>
    <col min="16131" max="16384" width="8.83203125" style="4"/>
  </cols>
  <sheetData>
    <row r="1" spans="1:15" ht="12.75" customHeight="1">
      <c r="A1" s="60" t="s">
        <v>18</v>
      </c>
      <c r="B1" s="61"/>
      <c r="C1" s="34"/>
      <c r="D1" s="34"/>
    </row>
    <row r="2" spans="1:15" ht="12.75" customHeight="1">
      <c r="A2" s="60"/>
      <c r="B2" s="61"/>
      <c r="C2" s="34"/>
      <c r="D2" s="34"/>
    </row>
    <row r="3" spans="1:15" ht="12.75" customHeight="1">
      <c r="A3" s="60"/>
      <c r="B3" s="61"/>
      <c r="C3" s="34"/>
      <c r="D3" s="34"/>
    </row>
    <row r="4" spans="1:15" ht="16">
      <c r="A4" s="60"/>
      <c r="B4" s="60"/>
      <c r="C4" s="31"/>
      <c r="D4" s="31"/>
    </row>
    <row r="5" spans="1:15" ht="16">
      <c r="A5" s="60"/>
      <c r="B5" s="60"/>
      <c r="C5" s="31"/>
      <c r="D5" s="31"/>
    </row>
    <row r="6" spans="1:15" ht="16">
      <c r="A6" s="60"/>
      <c r="B6" s="60"/>
      <c r="C6" s="31"/>
      <c r="D6" s="31"/>
      <c r="E6" s="1" t="s">
        <v>39</v>
      </c>
    </row>
    <row r="7" spans="1:15">
      <c r="E7" s="1" t="s">
        <v>40</v>
      </c>
    </row>
    <row r="8" spans="1:15" ht="18">
      <c r="A8" s="11" t="s">
        <v>19</v>
      </c>
      <c r="B8" s="11" t="s">
        <v>20</v>
      </c>
    </row>
    <row r="9" spans="1:15" ht="16">
      <c r="A9" s="32">
        <v>2.5999999999999999E-3</v>
      </c>
      <c r="B9" s="33">
        <v>2.5</v>
      </c>
    </row>
    <row r="10" spans="1:15" ht="16">
      <c r="A10" s="32">
        <v>3.0000000000000001E-3</v>
      </c>
      <c r="B10" s="33">
        <v>2.9</v>
      </c>
      <c r="O10" s="1" t="s">
        <v>53</v>
      </c>
    </row>
    <row r="11" spans="1:15" ht="16">
      <c r="A11" s="32">
        <v>5.1999999999999998E-3</v>
      </c>
      <c r="B11" s="33">
        <v>2.9</v>
      </c>
    </row>
    <row r="12" spans="1:15" ht="16">
      <c r="A12" s="32">
        <v>9.7999999999999997E-3</v>
      </c>
      <c r="B12" s="33">
        <v>3.3</v>
      </c>
    </row>
    <row r="13" spans="1:15" ht="16">
      <c r="A13" s="32">
        <v>1.35E-2</v>
      </c>
      <c r="B13" s="33">
        <v>3.3</v>
      </c>
    </row>
    <row r="14" spans="1:15" ht="16">
      <c r="A14" s="32">
        <v>1.9099999999999999E-2</v>
      </c>
      <c r="B14" s="33">
        <v>3.3</v>
      </c>
    </row>
    <row r="15" spans="1:15" ht="16">
      <c r="A15" s="32">
        <v>2.8500000000000001E-2</v>
      </c>
      <c r="B15" s="33">
        <v>4.2</v>
      </c>
    </row>
    <row r="16" spans="1:15" ht="16">
      <c r="A16" s="32">
        <v>3.5000000000000003E-2</v>
      </c>
      <c r="B16" s="33">
        <v>4.2</v>
      </c>
    </row>
    <row r="17" spans="1:2" ht="16">
      <c r="A17" s="32">
        <v>0.05</v>
      </c>
      <c r="B17" s="33">
        <v>5.8</v>
      </c>
    </row>
    <row r="18" spans="1:2" ht="16">
      <c r="A18" s="32">
        <v>6.3E-2</v>
      </c>
      <c r="B18" s="33">
        <v>6</v>
      </c>
    </row>
    <row r="19" spans="1:2" ht="16">
      <c r="A19" s="32">
        <v>0.09</v>
      </c>
      <c r="B19" s="33">
        <v>8.9</v>
      </c>
    </row>
    <row r="20" spans="1:2" ht="16">
      <c r="A20" s="32">
        <v>0.125</v>
      </c>
      <c r="B20" s="33">
        <v>23.3</v>
      </c>
    </row>
    <row r="21" spans="1:2" ht="16">
      <c r="A21" s="32">
        <v>0.18</v>
      </c>
      <c r="B21" s="33">
        <v>59.2</v>
      </c>
    </row>
    <row r="22" spans="1:2" ht="16">
      <c r="A22" s="32">
        <v>0.25</v>
      </c>
      <c r="B22" s="33">
        <v>89</v>
      </c>
    </row>
    <row r="23" spans="1:2" ht="16">
      <c r="A23" s="32">
        <v>0.3</v>
      </c>
      <c r="B23" s="33">
        <v>96.1</v>
      </c>
    </row>
    <row r="24" spans="1:2" ht="16">
      <c r="A24" s="32">
        <v>0.42499999999999999</v>
      </c>
      <c r="B24" s="33">
        <v>99.9</v>
      </c>
    </row>
    <row r="25" spans="1:2" ht="16">
      <c r="A25" s="32">
        <v>0.5</v>
      </c>
      <c r="B25" s="33">
        <v>100</v>
      </c>
    </row>
  </sheetData>
  <mergeCells count="1">
    <mergeCell ref="A1:B6"/>
  </mergeCell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8"/>
  <sheetViews>
    <sheetView workbookViewId="0">
      <selection activeCell="O28" sqref="O28"/>
    </sheetView>
  </sheetViews>
  <sheetFormatPr baseColWidth="10" defaultColWidth="8.83203125" defaultRowHeight="15"/>
  <cols>
    <col min="6" max="6" width="10.33203125" customWidth="1"/>
    <col min="10" max="10" width="11.5" customWidth="1"/>
    <col min="15" max="15" width="90.6640625" customWidth="1"/>
  </cols>
  <sheetData>
    <row r="1" spans="1:15" ht="18">
      <c r="A1" s="41" t="s">
        <v>21</v>
      </c>
      <c r="B1" s="41"/>
      <c r="C1" s="41"/>
      <c r="D1" s="41"/>
      <c r="E1" s="41"/>
      <c r="F1" s="41"/>
      <c r="G1" s="41"/>
      <c r="H1" s="41"/>
      <c r="I1" s="41"/>
      <c r="J1" s="41"/>
    </row>
    <row r="2" spans="1:15">
      <c r="A2" s="6"/>
    </row>
    <row r="3" spans="1:15" ht="15" customHeight="1">
      <c r="A3" s="64" t="s">
        <v>22</v>
      </c>
      <c r="B3" s="64"/>
      <c r="C3" s="64"/>
      <c r="D3" s="64"/>
      <c r="E3" s="64"/>
      <c r="F3" s="64"/>
      <c r="G3" s="64"/>
      <c r="H3" s="64"/>
      <c r="I3" s="64"/>
      <c r="J3" s="64"/>
      <c r="O3" s="62" t="s">
        <v>51</v>
      </c>
    </row>
    <row r="4" spans="1:15">
      <c r="A4" s="64"/>
      <c r="B4" s="64"/>
      <c r="C4" s="64"/>
      <c r="D4" s="64"/>
      <c r="E4" s="64"/>
      <c r="F4" s="64"/>
      <c r="G4" s="64"/>
      <c r="H4" s="64"/>
      <c r="I4" s="64"/>
      <c r="J4" s="64"/>
      <c r="O4" s="63"/>
    </row>
    <row r="5" spans="1:15" ht="30" customHeight="1">
      <c r="A5" s="64"/>
      <c r="B5" s="64"/>
      <c r="C5" s="64"/>
      <c r="D5" s="64"/>
      <c r="E5" s="64"/>
      <c r="F5" s="64"/>
      <c r="G5" s="64"/>
      <c r="H5" s="64"/>
      <c r="I5" s="64"/>
      <c r="J5" s="64"/>
      <c r="O5" s="46" t="s">
        <v>41</v>
      </c>
    </row>
    <row r="6" spans="1:15" ht="17">
      <c r="O6" s="46" t="s">
        <v>42</v>
      </c>
    </row>
    <row r="7" spans="1:15" ht="36" customHeight="1">
      <c r="A7" s="44" t="s">
        <v>23</v>
      </c>
      <c r="B7" s="35" t="s">
        <v>24</v>
      </c>
      <c r="C7" s="36" t="s">
        <v>25</v>
      </c>
      <c r="D7" s="22"/>
      <c r="E7" s="65" t="s">
        <v>26</v>
      </c>
      <c r="F7" s="65"/>
      <c r="G7" s="65"/>
      <c r="O7" s="46" t="s">
        <v>43</v>
      </c>
    </row>
    <row r="8" spans="1:15" ht="16">
      <c r="A8" s="23">
        <v>0</v>
      </c>
      <c r="B8" s="37">
        <v>1.01</v>
      </c>
      <c r="C8" s="23"/>
      <c r="D8" s="22"/>
      <c r="E8" s="24"/>
      <c r="F8" s="24"/>
      <c r="G8" s="24"/>
      <c r="O8" s="46" t="s">
        <v>44</v>
      </c>
    </row>
    <row r="9" spans="1:15" ht="18">
      <c r="A9" s="23">
        <v>2</v>
      </c>
      <c r="B9" s="37">
        <v>1.05</v>
      </c>
      <c r="C9" s="38">
        <f>(B9-B8)/(A9-A8)</f>
        <v>2.0000000000000018E-2</v>
      </c>
      <c r="D9" s="22"/>
      <c r="E9" s="66" t="s">
        <v>27</v>
      </c>
      <c r="F9" s="66"/>
      <c r="G9" s="39"/>
      <c r="O9" s="46" t="s">
        <v>45</v>
      </c>
    </row>
    <row r="10" spans="1:15" ht="17">
      <c r="A10" s="23">
        <v>4</v>
      </c>
      <c r="B10" s="37">
        <v>1.1000000000000001</v>
      </c>
      <c r="C10" s="38">
        <f t="shared" ref="C10:C28" si="0">(B10-B9)/(A10-A9)</f>
        <v>2.5000000000000022E-2</v>
      </c>
      <c r="D10" s="22"/>
      <c r="E10" s="40"/>
      <c r="F10" s="24"/>
      <c r="G10" s="24"/>
      <c r="O10" s="46" t="s">
        <v>58</v>
      </c>
    </row>
    <row r="11" spans="1:15" ht="18" customHeight="1">
      <c r="A11" s="23">
        <v>6</v>
      </c>
      <c r="B11" s="37">
        <v>1.1499999999999999</v>
      </c>
      <c r="C11" s="38">
        <f t="shared" si="0"/>
        <v>2.4999999999999911E-2</v>
      </c>
      <c r="D11" s="22"/>
      <c r="E11" s="66" t="s">
        <v>28</v>
      </c>
      <c r="F11" s="66"/>
      <c r="G11" s="39"/>
      <c r="O11" s="46" t="s">
        <v>46</v>
      </c>
    </row>
    <row r="12" spans="1:15" ht="17">
      <c r="A12" s="23">
        <v>8</v>
      </c>
      <c r="B12" s="37">
        <v>1.18</v>
      </c>
      <c r="C12" s="38">
        <f t="shared" si="0"/>
        <v>1.5000000000000013E-2</v>
      </c>
      <c r="D12" s="22"/>
      <c r="E12" s="22"/>
      <c r="F12" s="22"/>
      <c r="G12" s="22"/>
      <c r="O12" s="46" t="s">
        <v>47</v>
      </c>
    </row>
    <row r="13" spans="1:15" ht="16">
      <c r="A13" s="23">
        <v>10</v>
      </c>
      <c r="B13" s="37">
        <v>1.22</v>
      </c>
      <c r="C13" s="38">
        <f t="shared" si="0"/>
        <v>2.0000000000000018E-2</v>
      </c>
      <c r="D13" s="22"/>
      <c r="E13" s="22"/>
      <c r="F13" s="22"/>
      <c r="G13" s="22"/>
      <c r="O13" s="46" t="s">
        <v>48</v>
      </c>
    </row>
    <row r="14" spans="1:15" ht="16">
      <c r="A14" s="23">
        <v>12</v>
      </c>
      <c r="B14" s="37">
        <v>1.28</v>
      </c>
      <c r="C14" s="38">
        <f t="shared" si="0"/>
        <v>3.0000000000000027E-2</v>
      </c>
      <c r="D14" s="22"/>
      <c r="E14" s="22"/>
      <c r="F14" s="22"/>
      <c r="G14" s="22"/>
      <c r="O14" s="46" t="s">
        <v>49</v>
      </c>
    </row>
    <row r="15" spans="1:15" ht="16">
      <c r="A15" s="23">
        <v>14</v>
      </c>
      <c r="B15" s="37">
        <v>1.33</v>
      </c>
      <c r="C15" s="38">
        <f t="shared" si="0"/>
        <v>2.5000000000000022E-2</v>
      </c>
      <c r="D15" s="22"/>
      <c r="E15" s="22"/>
      <c r="F15" s="22"/>
      <c r="G15" s="22"/>
      <c r="O15" s="46" t="s">
        <v>50</v>
      </c>
    </row>
    <row r="16" spans="1:15" ht="16">
      <c r="A16" s="23">
        <v>16</v>
      </c>
      <c r="B16" s="37">
        <v>1.38</v>
      </c>
      <c r="C16" s="38">
        <f t="shared" si="0"/>
        <v>2.4999999999999911E-2</v>
      </c>
      <c r="D16" s="22"/>
      <c r="E16" s="22"/>
      <c r="F16" s="22"/>
      <c r="G16" s="22"/>
    </row>
    <row r="17" spans="1:15" ht="16">
      <c r="A17" s="23">
        <v>18</v>
      </c>
      <c r="B17" s="37">
        <v>1.44</v>
      </c>
      <c r="C17" s="38">
        <f t="shared" si="0"/>
        <v>3.0000000000000027E-2</v>
      </c>
      <c r="D17" s="22"/>
      <c r="E17" s="22"/>
      <c r="F17" s="22"/>
      <c r="G17" s="22"/>
    </row>
    <row r="18" spans="1:15" ht="16">
      <c r="A18" s="23">
        <v>20</v>
      </c>
      <c r="B18" s="37">
        <v>1.45</v>
      </c>
      <c r="C18" s="38">
        <f t="shared" si="0"/>
        <v>5.0000000000000044E-3</v>
      </c>
      <c r="D18" s="22"/>
      <c r="E18" s="22"/>
      <c r="F18" s="22"/>
      <c r="G18" s="22"/>
    </row>
    <row r="19" spans="1:15" ht="16">
      <c r="A19" s="23">
        <v>22</v>
      </c>
      <c r="B19" s="37">
        <v>1.48</v>
      </c>
      <c r="C19" s="38">
        <f t="shared" si="0"/>
        <v>1.5000000000000013E-2</v>
      </c>
      <c r="D19" s="22"/>
      <c r="E19" s="22"/>
      <c r="F19" s="22"/>
      <c r="G19" s="22"/>
    </row>
    <row r="20" spans="1:15" ht="16">
      <c r="A20" s="23">
        <v>23</v>
      </c>
      <c r="B20" s="37">
        <v>1.57</v>
      </c>
      <c r="C20" s="38">
        <f t="shared" si="0"/>
        <v>9.000000000000008E-2</v>
      </c>
      <c r="D20" s="22"/>
      <c r="E20" s="22"/>
      <c r="F20" s="22"/>
      <c r="G20" s="22"/>
    </row>
    <row r="21" spans="1:15" ht="16">
      <c r="A21" s="23">
        <v>24</v>
      </c>
      <c r="B21" s="37">
        <v>1.98</v>
      </c>
      <c r="C21" s="38">
        <f t="shared" si="0"/>
        <v>0.40999999999999992</v>
      </c>
      <c r="D21" s="22"/>
      <c r="E21" s="22"/>
      <c r="F21" s="22"/>
      <c r="G21" s="22"/>
    </row>
    <row r="22" spans="1:15" ht="16">
      <c r="A22" s="23">
        <v>25</v>
      </c>
      <c r="B22" s="37">
        <v>7.1</v>
      </c>
      <c r="C22" s="38">
        <f t="shared" si="0"/>
        <v>5.1199999999999992</v>
      </c>
      <c r="D22" s="22"/>
      <c r="E22" s="22"/>
      <c r="F22" s="22"/>
      <c r="G22" s="22"/>
    </row>
    <row r="23" spans="1:15" ht="16">
      <c r="A23" s="23">
        <v>26</v>
      </c>
      <c r="B23" s="37">
        <v>10.78</v>
      </c>
      <c r="C23" s="38">
        <f t="shared" si="0"/>
        <v>3.6799999999999997</v>
      </c>
      <c r="D23" s="22"/>
      <c r="E23" s="22"/>
      <c r="F23" s="22"/>
      <c r="G23" s="22"/>
      <c r="O23" s="47" t="s">
        <v>52</v>
      </c>
    </row>
    <row r="24" spans="1:15" ht="16">
      <c r="A24" s="23">
        <v>28</v>
      </c>
      <c r="B24" s="37">
        <v>11.58</v>
      </c>
      <c r="C24" s="38">
        <f t="shared" si="0"/>
        <v>0.40000000000000036</v>
      </c>
      <c r="D24" s="22"/>
      <c r="E24" s="22"/>
      <c r="F24" s="22"/>
      <c r="G24" s="22"/>
    </row>
    <row r="25" spans="1:15" ht="16">
      <c r="A25" s="23">
        <v>30</v>
      </c>
      <c r="B25" s="37">
        <v>11.78</v>
      </c>
      <c r="C25" s="38">
        <f t="shared" si="0"/>
        <v>9.9999999999999645E-2</v>
      </c>
      <c r="D25" s="22"/>
      <c r="E25" s="22"/>
      <c r="F25" s="22"/>
      <c r="G25" s="22"/>
    </row>
    <row r="26" spans="1:15" ht="16">
      <c r="A26" s="23">
        <v>32</v>
      </c>
      <c r="B26" s="37">
        <v>11.84</v>
      </c>
      <c r="C26" s="38">
        <f t="shared" si="0"/>
        <v>3.0000000000000249E-2</v>
      </c>
      <c r="D26" s="22"/>
      <c r="E26" s="22"/>
      <c r="F26" s="22"/>
      <c r="G26" s="22"/>
    </row>
    <row r="27" spans="1:15" ht="16">
      <c r="A27" s="23">
        <v>34</v>
      </c>
      <c r="B27" s="37">
        <v>11.86</v>
      </c>
      <c r="C27" s="38">
        <f t="shared" si="0"/>
        <v>9.9999999999997868E-3</v>
      </c>
      <c r="D27" s="22"/>
      <c r="E27" s="22"/>
      <c r="F27" s="22"/>
      <c r="G27" s="22"/>
    </row>
    <row r="28" spans="1:15" ht="16">
      <c r="A28" s="23">
        <v>36</v>
      </c>
      <c r="B28" s="37">
        <v>11.88</v>
      </c>
      <c r="C28" s="38">
        <f t="shared" si="0"/>
        <v>1.0000000000000675E-2</v>
      </c>
      <c r="D28" s="22"/>
      <c r="E28" s="22"/>
      <c r="F28" s="22"/>
      <c r="G28" s="22"/>
    </row>
    <row r="30" spans="1:15">
      <c r="A30" s="10"/>
      <c r="B30" s="7"/>
      <c r="C30" s="8"/>
    </row>
    <row r="31" spans="1:15">
      <c r="A31" s="9"/>
      <c r="B31" s="9"/>
      <c r="C31" s="9"/>
    </row>
    <row r="32" spans="1:15">
      <c r="A32" s="9"/>
      <c r="B32" s="9"/>
      <c r="C32" s="9"/>
    </row>
    <row r="33" spans="1:3">
      <c r="A33" s="9"/>
      <c r="B33" s="9"/>
      <c r="C33" s="9"/>
    </row>
    <row r="34" spans="1:3">
      <c r="A34" s="9"/>
      <c r="B34" s="9"/>
      <c r="C34" s="9"/>
    </row>
    <row r="35" spans="1:3">
      <c r="A35" s="9"/>
      <c r="B35" s="9"/>
      <c r="C35" s="9"/>
    </row>
    <row r="36" spans="1:3">
      <c r="A36" s="9"/>
      <c r="B36" s="9"/>
      <c r="C36" s="9"/>
    </row>
    <row r="37" spans="1:3">
      <c r="A37" s="9"/>
      <c r="B37" s="9"/>
      <c r="C37" s="9"/>
    </row>
    <row r="38" spans="1:3">
      <c r="A38" s="9"/>
      <c r="B38" s="9"/>
      <c r="C38" s="9"/>
    </row>
  </sheetData>
  <mergeCells count="5">
    <mergeCell ref="O3:O4"/>
    <mergeCell ref="A3:J5"/>
    <mergeCell ref="E7:G7"/>
    <mergeCell ref="E9:F9"/>
    <mergeCell ref="E11:F1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Stability Testing</vt:lpstr>
      <vt:lpstr>2- Glucose Levels</vt:lpstr>
      <vt:lpstr>3-Mice </vt:lpstr>
      <vt:lpstr>4-Haemoglobin</vt:lpstr>
      <vt:lpstr>5-Linearity Range</vt:lpstr>
      <vt:lpstr>6. Acid Base Reactions</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Kathleen</dc:creator>
  <cp:keywords/>
  <dc:description/>
  <cp:lastModifiedBy>Mairead Meagher</cp:lastModifiedBy>
  <cp:revision/>
  <dcterms:created xsi:type="dcterms:W3CDTF">2012-08-01T22:19:56Z</dcterms:created>
  <dcterms:modified xsi:type="dcterms:W3CDTF">2025-11-26T00:09:14Z</dcterms:modified>
  <cp:category/>
  <cp:contentStatus/>
</cp:coreProperties>
</file>