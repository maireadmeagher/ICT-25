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topicxx-wip/excel-test/"/>
    </mc:Choice>
  </mc:AlternateContent>
  <xr:revisionPtr revIDLastSave="0" documentId="13_ncr:1_{06C5AD5D-C7A2-734B-9D56-E6A491AE1BDB}" xr6:coauthVersionLast="47" xr6:coauthVersionMax="47" xr10:uidLastSave="{00000000-0000-0000-0000-000000000000}"/>
  <bookViews>
    <workbookView xWindow="720" yWindow="2680" windowWidth="29520" windowHeight="17520" activeTab="1" xr2:uid="{D0934FB3-3EAB-8C4F-9A62-04A8B12A963D}"/>
  </bookViews>
  <sheets>
    <sheet name="Student Results" sheetId="1" r:id="rId1"/>
    <sheet name="Planning" sheetId="2" r:id="rId2"/>
    <sheet name="Sheet2" sheetId="3" r:id="rId3"/>
  </sheets>
  <definedNames>
    <definedName name="_xlchart.v1.0" hidden="1">'Student Results'!$A$10:$A$13</definedName>
    <definedName name="_xlchart.v1.1" hidden="1">'Student Results'!$A$14</definedName>
    <definedName name="_xlchart.v1.10" hidden="1">'Student Results'!$G$10:$G$13</definedName>
    <definedName name="_xlchart.v1.11" hidden="1">'Student Results'!$G$14</definedName>
    <definedName name="_xlchart.v1.12" hidden="1">'Student Results'!$A$10:$A$13</definedName>
    <definedName name="_xlchart.v1.13" hidden="1">'Student Results'!$A$14</definedName>
    <definedName name="_xlchart.v1.14" hidden="1">'Student Results'!$F$24:$F$27</definedName>
    <definedName name="_xlchart.v1.15" hidden="1">'Student Results'!$F$28</definedName>
    <definedName name="_xlchart.v1.16" hidden="1">'Student Results'!$G$10:$G$13</definedName>
    <definedName name="_xlchart.v1.17" hidden="1">'Student Results'!$G$14</definedName>
    <definedName name="_xlchart.v1.2" hidden="1">'Student Results'!$F$24:$F$27</definedName>
    <definedName name="_xlchart.v1.22" hidden="1">Sheet2!$A$1</definedName>
    <definedName name="_xlchart.v1.23" hidden="1">Sheet2!$A$2:$A$7</definedName>
    <definedName name="_xlchart.v1.24" hidden="1">Sheet2!$B$1</definedName>
    <definedName name="_xlchart.v1.25" hidden="1">Sheet2!$B$2:$B$7</definedName>
    <definedName name="_xlchart.v1.3" hidden="1">'Student Results'!$F$28</definedName>
    <definedName name="_xlchart.v1.4" hidden="1">'Student Results'!$G$10:$G$13</definedName>
    <definedName name="_xlchart.v1.5" hidden="1">'Student Results'!$G$14</definedName>
    <definedName name="_xlchart.v1.6" hidden="1">'Student Results'!$A$10:$A$13</definedName>
    <definedName name="_xlchart.v1.7" hidden="1">'Student Results'!$A$14</definedName>
    <definedName name="_xlchart.v1.8" hidden="1">'Student Results'!$F$24:$F$27</definedName>
    <definedName name="_xlchart.v1.9" hidden="1">'Student Results'!$F$28</definedName>
    <definedName name="_xlchart.v2.18" hidden="1">Sheet2!$A$1</definedName>
    <definedName name="_xlchart.v2.19" hidden="1">Sheet2!$A$2:$A$7</definedName>
    <definedName name="_xlchart.v2.20" hidden="1">Sheet2!$B$1</definedName>
    <definedName name="_xlchart.v2.21" hidden="1">Sheet2!$B$2:$B$7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M6" i="2"/>
  <c r="N6" i="2"/>
  <c r="O6" i="2"/>
  <c r="P6" i="2"/>
  <c r="L6" i="2"/>
  <c r="D7" i="2"/>
  <c r="E7" i="2"/>
  <c r="F7" i="2"/>
  <c r="G7" i="2"/>
  <c r="H7" i="2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/>
  <c r="F11" i="2"/>
  <c r="G11" i="2"/>
  <c r="H11" i="2"/>
  <c r="D12" i="2"/>
  <c r="E12" i="2"/>
  <c r="F12" i="2"/>
  <c r="G12" i="2"/>
  <c r="H12" i="2"/>
  <c r="D13" i="2"/>
  <c r="E13" i="2"/>
  <c r="F13" i="2"/>
  <c r="G13" i="2"/>
  <c r="H13" i="2"/>
  <c r="D14" i="2"/>
  <c r="E14" i="2"/>
  <c r="F14" i="2"/>
  <c r="G14" i="2"/>
  <c r="H14" i="2"/>
  <c r="D15" i="2"/>
  <c r="E15" i="2"/>
  <c r="F15" i="2"/>
  <c r="G15" i="2"/>
  <c r="H15" i="2"/>
  <c r="D16" i="2"/>
  <c r="E16" i="2"/>
  <c r="F16" i="2"/>
  <c r="G16" i="2"/>
  <c r="H16" i="2"/>
  <c r="D17" i="2"/>
  <c r="E17" i="2"/>
  <c r="F17" i="2"/>
  <c r="G17" i="2"/>
  <c r="H17" i="2"/>
  <c r="E6" i="2"/>
  <c r="F6" i="2"/>
  <c r="G6" i="2"/>
  <c r="H6" i="2"/>
  <c r="D6" i="2"/>
  <c r="G11" i="1" l="1"/>
  <c r="G12" i="1"/>
  <c r="G13" i="1"/>
  <c r="G14" i="1"/>
  <c r="G10" i="1" l="1"/>
</calcChain>
</file>

<file path=xl/sharedStrings.xml><?xml version="1.0" encoding="utf-8"?>
<sst xmlns="http://schemas.openxmlformats.org/spreadsheetml/2006/main" count="23" uniqueCount="21">
  <si>
    <t xml:space="preserve">Student Results (ICT for Scientists) </t>
  </si>
  <si>
    <t>Calculate each students correct weighted result and then the overall average.
Then apply conditional formatting as per instructions</t>
  </si>
  <si>
    <t>Ms Word</t>
  </si>
  <si>
    <t>Ms Excel</t>
  </si>
  <si>
    <t>Ms PowerPoint</t>
  </si>
  <si>
    <t>Attendance</t>
  </si>
  <si>
    <t>Overall</t>
  </si>
  <si>
    <t>Name</t>
  </si>
  <si>
    <t>Answers</t>
  </si>
  <si>
    <t xml:space="preserve"> Overall Average for 5 students --&gt;</t>
  </si>
  <si>
    <t xml:space="preserve"> </t>
  </si>
  <si>
    <t>Anna</t>
  </si>
  <si>
    <t>Brian</t>
  </si>
  <si>
    <t>Daniel</t>
  </si>
  <si>
    <t>Charlie</t>
  </si>
  <si>
    <t>Emma</t>
  </si>
  <si>
    <t>Check that weightings add to 100</t>
  </si>
  <si>
    <t>margin/mean</t>
  </si>
  <si>
    <t>SD/mean</t>
  </si>
  <si>
    <t>Glucose (mg/ml)</t>
  </si>
  <si>
    <t>Absorbance @ 540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</si>
</sst>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3" xfId="3" applyFont="1" applyBorder="1" applyAlignment="1">
      <alignment horizontal="left"/>
    </xf>
    <xf numFmtId="0" fontId="4" fillId="3" borderId="0" xfId="3" applyFont="1" applyBorder="1" applyAlignment="1">
      <alignment horizontal="left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7" fillId="5" borderId="10" xfId="0" applyFont="1" applyFill="1" applyBorder="1"/>
    <xf numFmtId="0" fontId="0" fillId="0" borderId="10" xfId="0" applyBorder="1"/>
    <xf numFmtId="0" fontId="6" fillId="0" borderId="0" xfId="0" applyFont="1" applyAlignment="1">
      <alignment horizontal="center"/>
    </xf>
    <xf numFmtId="2" fontId="8" fillId="2" borderId="11" xfId="2" applyNumberFormat="1" applyFont="1" applyBorder="1"/>
    <xf numFmtId="1" fontId="0" fillId="0" borderId="0" xfId="0" applyNumberFormat="1"/>
    <xf numFmtId="9" fontId="3" fillId="0" borderId="10" xfId="1" applyFont="1" applyBorder="1"/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9" fontId="0" fillId="0" borderId="0" xfId="0" applyNumberForma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2" fontId="12" fillId="8" borderId="15" xfId="0" applyNumberFormat="1" applyFont="1" applyFill="1" applyBorder="1" applyAlignment="1">
      <alignment horizontal="center" vertical="center"/>
    </xf>
    <xf numFmtId="1" fontId="13" fillId="9" borderId="9" xfId="0" applyNumberFormat="1" applyFont="1" applyFill="1" applyBorder="1" applyAlignment="1">
      <alignment horizontal="center" vertical="center"/>
    </xf>
    <xf numFmtId="2" fontId="12" fillId="8" borderId="9" xfId="0" applyNumberFormat="1" applyFont="1" applyFill="1" applyBorder="1" applyAlignment="1">
      <alignment horizontal="center" vertical="center"/>
    </xf>
    <xf numFmtId="0" fontId="14" fillId="0" borderId="0" xfId="0" applyFont="1"/>
    <xf numFmtId="0" fontId="9" fillId="0" borderId="0" xfId="0" applyFont="1"/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wrapText="1"/>
    </xf>
    <xf numFmtId="0" fontId="0" fillId="11" borderId="10" xfId="0" applyFill="1" applyBorder="1"/>
  </cellXfs>
  <cellStyles count="4">
    <cellStyle name="Calculation" xfId="2" builtinId="22"/>
    <cellStyle name="Normal" xfId="0" builtinId="0"/>
    <cellStyle name="Note" xfId="3" builtinId="1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Results'!$A$10:$A$14</c:f>
              <c:strCache>
                <c:ptCount val="5"/>
                <c:pt idx="0">
                  <c:v>Brian</c:v>
                </c:pt>
                <c:pt idx="1">
                  <c:v>Charlie</c:v>
                </c:pt>
                <c:pt idx="2">
                  <c:v>Anna</c:v>
                </c:pt>
                <c:pt idx="3">
                  <c:v>Daniel</c:v>
                </c:pt>
                <c:pt idx="4">
                  <c:v>Emma</c:v>
                </c:pt>
              </c:strCache>
            </c:strRef>
          </c:cat>
          <c:val>
            <c:numRef>
              <c:f>'Student Results'!$F$10:$F$14</c:f>
              <c:numCache>
                <c:formatCode>General</c:formatCode>
                <c:ptCount val="5"/>
                <c:pt idx="0">
                  <c:v>78</c:v>
                </c:pt>
                <c:pt idx="1">
                  <c:v>56</c:v>
                </c:pt>
                <c:pt idx="2">
                  <c:v>67</c:v>
                </c:pt>
                <c:pt idx="3">
                  <c:v>67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7142-A213-D46FF002AE0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Results'!$A$10:$A$14</c:f>
              <c:strCache>
                <c:ptCount val="5"/>
                <c:pt idx="0">
                  <c:v>Brian</c:v>
                </c:pt>
                <c:pt idx="1">
                  <c:v>Charlie</c:v>
                </c:pt>
                <c:pt idx="2">
                  <c:v>Anna</c:v>
                </c:pt>
                <c:pt idx="3">
                  <c:v>Daniel</c:v>
                </c:pt>
                <c:pt idx="4">
                  <c:v>Emma</c:v>
                </c:pt>
              </c:strCache>
            </c:strRef>
          </c:cat>
          <c:val>
            <c:numRef>
              <c:f>'Student Results'!$G$10:$G$14</c:f>
              <c:numCache>
                <c:formatCode>General</c:formatCode>
                <c:ptCount val="5"/>
                <c:pt idx="0">
                  <c:v>43.900000000000006</c:v>
                </c:pt>
                <c:pt idx="1">
                  <c:v>34.5</c:v>
                </c:pt>
                <c:pt idx="2">
                  <c:v>53.5</c:v>
                </c:pt>
                <c:pt idx="3">
                  <c:v>47.300000000000004</c:v>
                </c:pt>
                <c:pt idx="4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3-7142-A213-D46FF002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315487"/>
        <c:axId val="1903317199"/>
      </c:barChart>
      <c:catAx>
        <c:axId val="190331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17199"/>
        <c:crosses val="autoZero"/>
        <c:auto val="1"/>
        <c:lblAlgn val="ctr"/>
        <c:lblOffset val="100"/>
        <c:noMultiLvlLbl val="0"/>
      </c:catAx>
      <c:valAx>
        <c:axId val="190331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1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1" i="0" u="none" strike="noStrike" baseline="0">
                <a:effectLst/>
              </a:rPr>
              <a:t>Absorbance of Glucose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Absorbance @ 540 nm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Sheet2!$A$2:$A$7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Sheet2!$B$2:$B$7</c:f>
              <c:numCache>
                <c:formatCode>General</c:formatCode>
                <c:ptCount val="6"/>
                <c:pt idx="0">
                  <c:v>4.7E-2</c:v>
                </c:pt>
                <c:pt idx="1">
                  <c:v>0.115</c:v>
                </c:pt>
                <c:pt idx="2">
                  <c:v>0.185</c:v>
                </c:pt>
                <c:pt idx="3">
                  <c:v>0.23100000000000001</c:v>
                </c:pt>
                <c:pt idx="4">
                  <c:v>0.35599999999999998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4-5147-B197-16015B7EABBD}"/>
            </c:ext>
          </c:extLst>
        </c:ser>
        <c:dLbls>
          <c:dLblPos val="b"/>
          <c:showLegendKey val="0"/>
          <c:showVal val="0"/>
          <c:showCatName val="0"/>
          <c:showSerName val="0"/>
          <c:showPercent val="0"/>
          <c:showBubbleSize val="0"/>
        </c:dLbls>
        <c:axId val="695021616"/>
        <c:axId val="527671232"/>
      </c:scatterChart>
      <c:valAx>
        <c:axId val="695021616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Glucose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71232"/>
        <c:crosses val="autoZero"/>
        <c:crossBetween val="midCat"/>
      </c:valAx>
      <c:valAx>
        <c:axId val="527671232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Absorbance</a:t>
                </a:r>
                <a:r>
                  <a:rPr lang="en-GB" b="1" baseline="0"/>
                  <a:t> at 540nn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2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15</xdr:row>
      <xdr:rowOff>165100</xdr:rowOff>
    </xdr:from>
    <xdr:to>
      <xdr:col>10</xdr:col>
      <xdr:colOff>165100</xdr:colOff>
      <xdr:row>33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1A43AB-6BF2-D891-A429-5A08EB59E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11</xdr:col>
      <xdr:colOff>130432</xdr:colOff>
      <xdr:row>25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CDF27-BAE1-2860-CBF5-26A6602C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3886200"/>
          <a:ext cx="6734432" cy="1384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7</xdr:row>
      <xdr:rowOff>76200</xdr:rowOff>
    </xdr:from>
    <xdr:to>
      <xdr:col>13</xdr:col>
      <xdr:colOff>781050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D006F-C56D-56D4-20DF-0516C4A40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4BEB-A401-8A45-B77F-F11E1E032676}">
  <dimension ref="A1:V30"/>
  <sheetViews>
    <sheetView topLeftCell="A5" workbookViewId="0">
      <selection activeCell="H8" sqref="H8"/>
    </sheetView>
  </sheetViews>
  <sheetFormatPr baseColWidth="10" defaultColWidth="8.83203125" defaultRowHeight="16" x14ac:dyDescent="0.2"/>
  <cols>
    <col min="1" max="1" width="12" customWidth="1"/>
    <col min="2" max="2" width="3.6640625" customWidth="1"/>
    <col min="3" max="4" width="8.6640625" customWidth="1"/>
    <col min="5" max="5" width="11.6640625" customWidth="1"/>
    <col min="6" max="6" width="10.33203125" customWidth="1"/>
    <col min="7" max="7" width="7.6640625" customWidth="1"/>
    <col min="10" max="10" width="9.6640625" customWidth="1"/>
    <col min="11" max="11" width="14.6640625" customWidth="1"/>
  </cols>
  <sheetData>
    <row r="1" spans="1:22" ht="22" x14ac:dyDescent="0.3">
      <c r="A1" s="1"/>
      <c r="C1" s="2" t="s">
        <v>0</v>
      </c>
      <c r="G1" s="3"/>
    </row>
    <row r="2" spans="1:22" ht="31.25" customHeight="1" x14ac:dyDescent="0.2">
      <c r="D2" s="3"/>
    </row>
    <row r="3" spans="1:22" ht="15" customHeight="1" x14ac:dyDescent="0.2">
      <c r="D3" s="3"/>
    </row>
    <row r="4" spans="1:22" ht="4" customHeight="1" x14ac:dyDescent="0.2"/>
    <row r="5" spans="1:22" x14ac:dyDescent="0.2">
      <c r="A5" s="4"/>
      <c r="C5" s="15" t="s">
        <v>1</v>
      </c>
      <c r="D5" s="16"/>
      <c r="E5" s="16"/>
      <c r="F5" s="16"/>
      <c r="G5" s="17"/>
    </row>
    <row r="6" spans="1:22" ht="32" customHeight="1" x14ac:dyDescent="0.2">
      <c r="A6" s="5"/>
      <c r="C6" s="18"/>
      <c r="D6" s="19"/>
      <c r="E6" s="19"/>
      <c r="F6" s="19"/>
      <c r="G6" s="20"/>
    </row>
    <row r="7" spans="1:22" s="8" customFormat="1" ht="85" x14ac:dyDescent="0.2">
      <c r="A7" s="6"/>
      <c r="B7" s="6"/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8" t="s">
        <v>16</v>
      </c>
      <c r="K7" s="21"/>
      <c r="M7"/>
      <c r="N7"/>
      <c r="O7"/>
      <c r="P7"/>
      <c r="Q7"/>
      <c r="R7"/>
      <c r="S7"/>
      <c r="T7"/>
      <c r="U7"/>
      <c r="V7"/>
    </row>
    <row r="8" spans="1:22" x14ac:dyDescent="0.2">
      <c r="A8" s="9" t="s">
        <v>7</v>
      </c>
      <c r="B8" s="10"/>
      <c r="C8" s="14">
        <v>0.2</v>
      </c>
      <c r="D8" s="14">
        <v>0.5</v>
      </c>
      <c r="E8" s="14">
        <v>0.2</v>
      </c>
      <c r="F8" s="14">
        <v>0.1</v>
      </c>
      <c r="G8" s="14">
        <v>1</v>
      </c>
    </row>
    <row r="9" spans="1:22" ht="15.75" customHeight="1" x14ac:dyDescent="0.2">
      <c r="A9" s="10"/>
      <c r="B9" s="10"/>
      <c r="C9" s="10"/>
      <c r="D9" s="10"/>
      <c r="E9" s="10"/>
      <c r="F9" s="10"/>
      <c r="G9" s="10"/>
    </row>
    <row r="10" spans="1:22" x14ac:dyDescent="0.2">
      <c r="A10" s="10" t="s">
        <v>12</v>
      </c>
      <c r="B10" s="10"/>
      <c r="C10" s="10">
        <v>67</v>
      </c>
      <c r="D10" s="10">
        <v>23</v>
      </c>
      <c r="E10" s="10">
        <v>56</v>
      </c>
      <c r="F10" s="10">
        <v>78</v>
      </c>
      <c r="G10" s="10">
        <f t="shared" ref="G10:G14" si="0">(C10*$C$8 + D10*$D$8 + E10*$E$8 + F10*$F$8)</f>
        <v>43.900000000000006</v>
      </c>
    </row>
    <row r="11" spans="1:22" x14ac:dyDescent="0.2">
      <c r="A11" t="s">
        <v>14</v>
      </c>
      <c r="B11" s="10"/>
      <c r="C11" s="10">
        <v>24</v>
      </c>
      <c r="D11" s="10">
        <v>39</v>
      </c>
      <c r="E11" s="10">
        <v>23</v>
      </c>
      <c r="F11" s="10">
        <v>56</v>
      </c>
      <c r="G11" s="10">
        <f t="shared" si="0"/>
        <v>34.5</v>
      </c>
    </row>
    <row r="12" spans="1:22" x14ac:dyDescent="0.2">
      <c r="A12" s="10" t="s">
        <v>11</v>
      </c>
      <c r="B12" s="10"/>
      <c r="C12" s="10">
        <v>40</v>
      </c>
      <c r="D12" s="10">
        <v>60</v>
      </c>
      <c r="E12" s="10">
        <v>44</v>
      </c>
      <c r="F12" s="10">
        <v>67</v>
      </c>
      <c r="G12" s="10">
        <f t="shared" si="0"/>
        <v>53.5</v>
      </c>
      <c r="K12" s="11" t="s">
        <v>8</v>
      </c>
    </row>
    <row r="13" spans="1:22" x14ac:dyDescent="0.2">
      <c r="A13" s="10" t="s">
        <v>13</v>
      </c>
      <c r="B13" s="10"/>
      <c r="C13" s="10">
        <v>33</v>
      </c>
      <c r="D13" s="10">
        <v>46</v>
      </c>
      <c r="E13" s="10">
        <v>55</v>
      </c>
      <c r="F13" s="10">
        <v>67</v>
      </c>
      <c r="G13" s="10">
        <f t="shared" si="0"/>
        <v>47.300000000000004</v>
      </c>
    </row>
    <row r="14" spans="1:22" ht="17" thickBot="1" x14ac:dyDescent="0.25">
      <c r="A14" s="10" t="s">
        <v>15</v>
      </c>
      <c r="B14" s="10"/>
      <c r="C14" s="10">
        <v>23</v>
      </c>
      <c r="D14" s="10">
        <v>45</v>
      </c>
      <c r="E14" s="10">
        <v>12</v>
      </c>
      <c r="F14" s="10">
        <v>77</v>
      </c>
      <c r="G14" s="10">
        <f t="shared" si="0"/>
        <v>37.200000000000003</v>
      </c>
    </row>
    <row r="15" spans="1:22" ht="25" thickBot="1" x14ac:dyDescent="0.35">
      <c r="H15" t="s">
        <v>9</v>
      </c>
      <c r="K15" s="12"/>
    </row>
    <row r="16" spans="1:22" ht="18.75" customHeight="1" x14ac:dyDescent="0.2">
      <c r="K16" s="13"/>
    </row>
    <row r="30" ht="5.5" customHeight="1" x14ac:dyDescent="0.2"/>
  </sheetData>
  <mergeCells count="1">
    <mergeCell ref="C5:G6"/>
  </mergeCells>
  <conditionalFormatting sqref="G10:G14">
    <cfRule type="cellIs" dxfId="1" priority="3" operator="lessThan">
      <formula>40</formula>
    </cfRule>
  </conditionalFormatting>
  <conditionalFormatting sqref="G10:G14">
    <cfRule type="cellIs" dxfId="0" priority="1" operator="greaterThanOrEqual">
      <formula>40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8D40-BEC2-5148-9C28-62D88EAEB644}">
  <dimension ref="A1:R25"/>
  <sheetViews>
    <sheetView tabSelected="1" workbookViewId="0">
      <selection activeCell="B5" sqref="B5"/>
    </sheetView>
  </sheetViews>
  <sheetFormatPr baseColWidth="10" defaultRowHeight="16" x14ac:dyDescent="0.2"/>
  <sheetData>
    <row r="1" spans="1:18" x14ac:dyDescent="0.2">
      <c r="A1" s="2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23"/>
      <c r="R1" s="23"/>
    </row>
    <row r="2" spans="1:18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  <c r="R2" s="23"/>
    </row>
    <row r="3" spans="1:18" ht="17" thickBot="1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" thickBot="1" x14ac:dyDescent="0.25">
      <c r="A4" s="22"/>
      <c r="B4" s="24">
        <v>1.96</v>
      </c>
      <c r="C4" s="25"/>
      <c r="D4" s="33" t="s">
        <v>17</v>
      </c>
      <c r="E4" s="34"/>
      <c r="F4" s="34"/>
      <c r="G4" s="34"/>
      <c r="H4" s="35"/>
      <c r="I4" s="25"/>
      <c r="J4" s="24">
        <v>1.65</v>
      </c>
      <c r="K4" s="25"/>
      <c r="L4" s="33" t="s">
        <v>17</v>
      </c>
      <c r="M4" s="34"/>
      <c r="N4" s="34"/>
      <c r="O4" s="34"/>
      <c r="P4" s="35"/>
      <c r="Q4" s="23"/>
      <c r="R4" s="23"/>
    </row>
    <row r="5" spans="1:18" x14ac:dyDescent="0.2">
      <c r="A5" s="22"/>
      <c r="B5" s="25" t="s">
        <v>10</v>
      </c>
      <c r="C5" s="25"/>
      <c r="D5" s="26">
        <v>1.4999999999999999E-2</v>
      </c>
      <c r="E5" s="27">
        <v>0.03</v>
      </c>
      <c r="F5" s="27">
        <v>0.05</v>
      </c>
      <c r="G5" s="27">
        <v>0.1</v>
      </c>
      <c r="H5" s="27">
        <v>0.2</v>
      </c>
      <c r="I5" s="25"/>
      <c r="J5" s="25"/>
      <c r="K5" s="25"/>
      <c r="L5" s="26">
        <v>1.4999999999999999E-2</v>
      </c>
      <c r="M5" s="27">
        <v>0.03</v>
      </c>
      <c r="N5" s="27">
        <v>0.05</v>
      </c>
      <c r="O5" s="27">
        <v>0.1</v>
      </c>
      <c r="P5" s="27">
        <v>0.2</v>
      </c>
      <c r="Q5" s="23"/>
      <c r="R5" s="23"/>
    </row>
    <row r="6" spans="1:18" x14ac:dyDescent="0.2">
      <c r="A6" s="22"/>
      <c r="B6" s="36" t="s">
        <v>18</v>
      </c>
      <c r="C6" s="28">
        <v>0.1</v>
      </c>
      <c r="D6" s="29">
        <f>($B$4/D$5)^2*($C6^2)</f>
        <v>170.73777777777778</v>
      </c>
      <c r="E6" s="29">
        <f t="shared" ref="E6:I17" si="0">($B$4/E$5)^2*($C6^2)</f>
        <v>42.684444444444445</v>
      </c>
      <c r="F6" s="29">
        <f t="shared" si="0"/>
        <v>15.366399999999999</v>
      </c>
      <c r="G6" s="29">
        <f t="shared" si="0"/>
        <v>3.8415999999999997</v>
      </c>
      <c r="H6" s="29">
        <f t="shared" si="0"/>
        <v>0.96039999999999992</v>
      </c>
      <c r="I6" s="25"/>
      <c r="J6" s="36" t="s">
        <v>18</v>
      </c>
      <c r="K6" s="28">
        <v>0.1</v>
      </c>
      <c r="L6" s="29">
        <f>($J$4/L$5)^2*($K6^2)</f>
        <v>121.00000000000003</v>
      </c>
      <c r="M6" s="29">
        <f t="shared" ref="M6:P17" si="1">($J$4/M$5)^2*($K6^2)</f>
        <v>30.250000000000007</v>
      </c>
      <c r="N6" s="29">
        <f t="shared" si="1"/>
        <v>10.889999999999997</v>
      </c>
      <c r="O6" s="29">
        <f t="shared" si="1"/>
        <v>2.7224999999999993</v>
      </c>
      <c r="P6" s="29">
        <f t="shared" si="1"/>
        <v>0.68062499999999981</v>
      </c>
      <c r="Q6" s="23"/>
      <c r="R6" s="23"/>
    </row>
    <row r="7" spans="1:18" x14ac:dyDescent="0.2">
      <c r="A7" s="22"/>
      <c r="B7" s="37"/>
      <c r="C7" s="30">
        <v>0.2</v>
      </c>
      <c r="D7" s="29">
        <f t="shared" ref="D7:D17" si="2">($B$4/D$5)^2*($C7^2)</f>
        <v>682.95111111111112</v>
      </c>
      <c r="E7" s="29">
        <f t="shared" si="0"/>
        <v>170.73777777777778</v>
      </c>
      <c r="F7" s="29">
        <f t="shared" si="0"/>
        <v>61.465599999999995</v>
      </c>
      <c r="G7" s="29">
        <f t="shared" si="0"/>
        <v>15.366399999999999</v>
      </c>
      <c r="H7" s="29">
        <f t="shared" si="0"/>
        <v>3.8415999999999997</v>
      </c>
      <c r="I7" s="25"/>
      <c r="J7" s="37"/>
      <c r="K7" s="30">
        <v>0.2</v>
      </c>
      <c r="L7" s="29">
        <f t="shared" ref="L7:L17" si="3">($J$4/L$5)^2*($K7^2)</f>
        <v>484.00000000000011</v>
      </c>
      <c r="M7" s="29">
        <f t="shared" si="1"/>
        <v>121.00000000000003</v>
      </c>
      <c r="N7" s="29">
        <f t="shared" si="1"/>
        <v>43.559999999999988</v>
      </c>
      <c r="O7" s="29">
        <f t="shared" si="1"/>
        <v>10.889999999999997</v>
      </c>
      <c r="P7" s="29">
        <f t="shared" si="1"/>
        <v>2.7224999999999993</v>
      </c>
      <c r="Q7" s="23"/>
      <c r="R7" s="23"/>
    </row>
    <row r="8" spans="1:18" x14ac:dyDescent="0.2">
      <c r="A8" s="22"/>
      <c r="B8" s="37"/>
      <c r="C8" s="30">
        <v>0.3</v>
      </c>
      <c r="D8" s="29">
        <f t="shared" si="2"/>
        <v>1536.6399999999996</v>
      </c>
      <c r="E8" s="29">
        <f t="shared" si="0"/>
        <v>384.15999999999991</v>
      </c>
      <c r="F8" s="29">
        <f t="shared" si="0"/>
        <v>138.29759999999996</v>
      </c>
      <c r="G8" s="29">
        <f t="shared" si="0"/>
        <v>34.57439999999999</v>
      </c>
      <c r="H8" s="29">
        <f t="shared" si="0"/>
        <v>8.6435999999999975</v>
      </c>
      <c r="I8" s="25"/>
      <c r="J8" s="37"/>
      <c r="K8" s="30">
        <v>0.3</v>
      </c>
      <c r="L8" s="29">
        <f t="shared" si="3"/>
        <v>1089</v>
      </c>
      <c r="M8" s="29">
        <f t="shared" si="1"/>
        <v>272.25</v>
      </c>
      <c r="N8" s="29">
        <f t="shared" si="1"/>
        <v>98.009999999999962</v>
      </c>
      <c r="O8" s="29">
        <f t="shared" si="1"/>
        <v>24.502499999999991</v>
      </c>
      <c r="P8" s="29">
        <f t="shared" si="1"/>
        <v>6.1256249999999977</v>
      </c>
      <c r="Q8" s="23"/>
      <c r="R8" s="23"/>
    </row>
    <row r="9" spans="1:18" x14ac:dyDescent="0.2">
      <c r="A9" s="22"/>
      <c r="B9" s="37"/>
      <c r="C9" s="30">
        <v>0.4</v>
      </c>
      <c r="D9" s="29">
        <f t="shared" si="2"/>
        <v>2731.8044444444445</v>
      </c>
      <c r="E9" s="29">
        <f t="shared" si="0"/>
        <v>682.95111111111112</v>
      </c>
      <c r="F9" s="29">
        <f t="shared" si="0"/>
        <v>245.86239999999998</v>
      </c>
      <c r="G9" s="29">
        <f t="shared" si="0"/>
        <v>61.465599999999995</v>
      </c>
      <c r="H9" s="29">
        <f t="shared" si="0"/>
        <v>15.366399999999999</v>
      </c>
      <c r="I9" s="25"/>
      <c r="J9" s="37"/>
      <c r="K9" s="30">
        <v>0.4</v>
      </c>
      <c r="L9" s="29">
        <f t="shared" si="3"/>
        <v>1936.0000000000005</v>
      </c>
      <c r="M9" s="29">
        <f t="shared" si="1"/>
        <v>484.00000000000011</v>
      </c>
      <c r="N9" s="29">
        <f t="shared" si="1"/>
        <v>174.23999999999995</v>
      </c>
      <c r="O9" s="29">
        <f t="shared" si="1"/>
        <v>43.559999999999988</v>
      </c>
      <c r="P9" s="29">
        <f t="shared" si="1"/>
        <v>10.889999999999997</v>
      </c>
      <c r="Q9" s="23"/>
      <c r="R9" s="23"/>
    </row>
    <row r="10" spans="1:18" x14ac:dyDescent="0.2">
      <c r="A10" s="22"/>
      <c r="B10" s="37"/>
      <c r="C10" s="30">
        <v>0.5</v>
      </c>
      <c r="D10" s="29">
        <f t="shared" si="2"/>
        <v>4268.4444444444434</v>
      </c>
      <c r="E10" s="29">
        <f t="shared" si="0"/>
        <v>1067.1111111111109</v>
      </c>
      <c r="F10" s="29">
        <f t="shared" si="0"/>
        <v>384.15999999999991</v>
      </c>
      <c r="G10" s="29">
        <f t="shared" si="0"/>
        <v>96.039999999999978</v>
      </c>
      <c r="H10" s="29">
        <f t="shared" si="0"/>
        <v>24.009999999999994</v>
      </c>
      <c r="I10" s="25"/>
      <c r="J10" s="37"/>
      <c r="K10" s="30">
        <v>0.5</v>
      </c>
      <c r="L10" s="29">
        <f t="shared" si="3"/>
        <v>3025</v>
      </c>
      <c r="M10" s="29">
        <f t="shared" si="1"/>
        <v>756.25</v>
      </c>
      <c r="N10" s="29">
        <f t="shared" si="1"/>
        <v>272.24999999999989</v>
      </c>
      <c r="O10" s="29">
        <f t="shared" si="1"/>
        <v>68.062499999999972</v>
      </c>
      <c r="P10" s="29">
        <f t="shared" si="1"/>
        <v>17.015624999999993</v>
      </c>
      <c r="Q10" s="23"/>
      <c r="R10" s="23"/>
    </row>
    <row r="11" spans="1:18" x14ac:dyDescent="0.2">
      <c r="A11" s="22"/>
      <c r="B11" s="37"/>
      <c r="C11" s="30">
        <v>0.6</v>
      </c>
      <c r="D11" s="29">
        <f t="shared" si="2"/>
        <v>6146.5599999999986</v>
      </c>
      <c r="E11" s="29">
        <f t="shared" si="0"/>
        <v>1536.6399999999996</v>
      </c>
      <c r="F11" s="29">
        <f t="shared" si="0"/>
        <v>553.19039999999984</v>
      </c>
      <c r="G11" s="29">
        <f t="shared" si="0"/>
        <v>138.29759999999996</v>
      </c>
      <c r="H11" s="29">
        <f t="shared" si="0"/>
        <v>34.57439999999999</v>
      </c>
      <c r="I11" s="25"/>
      <c r="J11" s="37"/>
      <c r="K11" s="30">
        <v>0.6</v>
      </c>
      <c r="L11" s="29">
        <f t="shared" si="3"/>
        <v>4356</v>
      </c>
      <c r="M11" s="29">
        <f t="shared" si="1"/>
        <v>1089</v>
      </c>
      <c r="N11" s="29">
        <f t="shared" si="1"/>
        <v>392.03999999999985</v>
      </c>
      <c r="O11" s="29">
        <f t="shared" si="1"/>
        <v>98.009999999999962</v>
      </c>
      <c r="P11" s="29">
        <f t="shared" si="1"/>
        <v>24.502499999999991</v>
      </c>
      <c r="Q11" s="23"/>
      <c r="R11" s="23"/>
    </row>
    <row r="12" spans="1:18" x14ac:dyDescent="0.2">
      <c r="A12" s="22"/>
      <c r="B12" s="37"/>
      <c r="C12" s="30">
        <v>0.7</v>
      </c>
      <c r="D12" s="29">
        <f t="shared" si="2"/>
        <v>8366.1511111111085</v>
      </c>
      <c r="E12" s="29">
        <f t="shared" si="0"/>
        <v>2091.5377777777771</v>
      </c>
      <c r="F12" s="29">
        <f t="shared" si="0"/>
        <v>752.95359999999971</v>
      </c>
      <c r="G12" s="29">
        <f t="shared" si="0"/>
        <v>188.23839999999993</v>
      </c>
      <c r="H12" s="29">
        <f t="shared" si="0"/>
        <v>47.059599999999982</v>
      </c>
      <c r="I12" s="25"/>
      <c r="J12" s="37"/>
      <c r="K12" s="30">
        <v>0.7</v>
      </c>
      <c r="L12" s="29">
        <f t="shared" si="3"/>
        <v>5928.9999999999991</v>
      </c>
      <c r="M12" s="29">
        <f t="shared" si="1"/>
        <v>1482.2499999999998</v>
      </c>
      <c r="N12" s="29">
        <f t="shared" si="1"/>
        <v>533.60999999999967</v>
      </c>
      <c r="O12" s="29">
        <f t="shared" si="1"/>
        <v>133.40249999999992</v>
      </c>
      <c r="P12" s="29">
        <f t="shared" si="1"/>
        <v>33.35062499999998</v>
      </c>
      <c r="Q12" s="23"/>
      <c r="R12" s="23"/>
    </row>
    <row r="13" spans="1:18" x14ac:dyDescent="0.2">
      <c r="A13" s="22"/>
      <c r="B13" s="37"/>
      <c r="C13" s="30">
        <v>0.8</v>
      </c>
      <c r="D13" s="29">
        <f t="shared" si="2"/>
        <v>10927.217777777778</v>
      </c>
      <c r="E13" s="29">
        <f t="shared" si="0"/>
        <v>2731.8044444444445</v>
      </c>
      <c r="F13" s="29">
        <f t="shared" si="0"/>
        <v>983.44959999999992</v>
      </c>
      <c r="G13" s="29">
        <f t="shared" si="0"/>
        <v>245.86239999999998</v>
      </c>
      <c r="H13" s="29">
        <f t="shared" si="0"/>
        <v>61.465599999999995</v>
      </c>
      <c r="I13" s="25"/>
      <c r="J13" s="37"/>
      <c r="K13" s="30">
        <v>0.8</v>
      </c>
      <c r="L13" s="29">
        <f t="shared" si="3"/>
        <v>7744.0000000000018</v>
      </c>
      <c r="M13" s="29">
        <f t="shared" si="1"/>
        <v>1936.0000000000005</v>
      </c>
      <c r="N13" s="29">
        <f t="shared" si="1"/>
        <v>696.95999999999981</v>
      </c>
      <c r="O13" s="29">
        <f t="shared" si="1"/>
        <v>174.23999999999995</v>
      </c>
      <c r="P13" s="29">
        <f t="shared" si="1"/>
        <v>43.559999999999988</v>
      </c>
      <c r="Q13" s="23"/>
      <c r="R13" s="23"/>
    </row>
    <row r="14" spans="1:18" x14ac:dyDescent="0.2">
      <c r="A14" s="22"/>
      <c r="B14" s="37"/>
      <c r="C14" s="30">
        <v>0.9</v>
      </c>
      <c r="D14" s="29">
        <f t="shared" si="2"/>
        <v>13829.759999999998</v>
      </c>
      <c r="E14" s="29">
        <f t="shared" si="0"/>
        <v>3457.4399999999996</v>
      </c>
      <c r="F14" s="29">
        <f t="shared" si="0"/>
        <v>1244.6783999999998</v>
      </c>
      <c r="G14" s="29">
        <f t="shared" si="0"/>
        <v>311.16959999999995</v>
      </c>
      <c r="H14" s="29">
        <f t="shared" si="0"/>
        <v>77.792399999999986</v>
      </c>
      <c r="I14" s="25"/>
      <c r="J14" s="37"/>
      <c r="K14" s="30">
        <v>0.9</v>
      </c>
      <c r="L14" s="29">
        <f t="shared" si="3"/>
        <v>9801</v>
      </c>
      <c r="M14" s="29">
        <f t="shared" si="1"/>
        <v>2450.25</v>
      </c>
      <c r="N14" s="29">
        <f t="shared" si="1"/>
        <v>882.08999999999969</v>
      </c>
      <c r="O14" s="29">
        <f t="shared" si="1"/>
        <v>220.52249999999992</v>
      </c>
      <c r="P14" s="29">
        <f t="shared" si="1"/>
        <v>55.130624999999981</v>
      </c>
      <c r="Q14" s="23"/>
      <c r="R14" s="23"/>
    </row>
    <row r="15" spans="1:18" x14ac:dyDescent="0.2">
      <c r="A15" s="22"/>
      <c r="B15" s="37"/>
      <c r="C15" s="30">
        <v>1</v>
      </c>
      <c r="D15" s="29">
        <f t="shared" si="2"/>
        <v>17073.777777777774</v>
      </c>
      <c r="E15" s="29">
        <f t="shared" si="0"/>
        <v>4268.4444444444434</v>
      </c>
      <c r="F15" s="29">
        <f t="shared" si="0"/>
        <v>1536.6399999999996</v>
      </c>
      <c r="G15" s="29">
        <f t="shared" si="0"/>
        <v>384.15999999999991</v>
      </c>
      <c r="H15" s="29">
        <f t="shared" si="0"/>
        <v>96.039999999999978</v>
      </c>
      <c r="I15" s="25"/>
      <c r="J15" s="37"/>
      <c r="K15" s="30">
        <v>1</v>
      </c>
      <c r="L15" s="29">
        <f t="shared" si="3"/>
        <v>12100</v>
      </c>
      <c r="M15" s="29">
        <f t="shared" si="1"/>
        <v>3025</v>
      </c>
      <c r="N15" s="29">
        <f t="shared" si="1"/>
        <v>1088.9999999999995</v>
      </c>
      <c r="O15" s="29">
        <f t="shared" si="1"/>
        <v>272.24999999999989</v>
      </c>
      <c r="P15" s="29">
        <f t="shared" si="1"/>
        <v>68.062499999999972</v>
      </c>
      <c r="Q15" s="23"/>
      <c r="R15" s="23"/>
    </row>
    <row r="16" spans="1:18" x14ac:dyDescent="0.2">
      <c r="A16" s="22"/>
      <c r="B16" s="37"/>
      <c r="C16" s="30">
        <v>2</v>
      </c>
      <c r="D16" s="29">
        <f t="shared" si="2"/>
        <v>68295.111111111095</v>
      </c>
      <c r="E16" s="29">
        <f t="shared" si="0"/>
        <v>17073.777777777774</v>
      </c>
      <c r="F16" s="29">
        <f t="shared" si="0"/>
        <v>6146.5599999999986</v>
      </c>
      <c r="G16" s="29">
        <f t="shared" si="0"/>
        <v>1536.6399999999996</v>
      </c>
      <c r="H16" s="29">
        <f t="shared" si="0"/>
        <v>384.15999999999991</v>
      </c>
      <c r="I16" s="25"/>
      <c r="J16" s="37"/>
      <c r="K16" s="30">
        <v>2</v>
      </c>
      <c r="L16" s="29">
        <f t="shared" si="3"/>
        <v>48400</v>
      </c>
      <c r="M16" s="29">
        <f t="shared" si="1"/>
        <v>12100</v>
      </c>
      <c r="N16" s="29">
        <f t="shared" si="1"/>
        <v>4355.9999999999982</v>
      </c>
      <c r="O16" s="29">
        <f t="shared" si="1"/>
        <v>1088.9999999999995</v>
      </c>
      <c r="P16" s="29">
        <f t="shared" si="1"/>
        <v>272.24999999999989</v>
      </c>
      <c r="Q16" s="23"/>
      <c r="R16" s="23"/>
    </row>
    <row r="17" spans="1:18" x14ac:dyDescent="0.2">
      <c r="A17" s="22"/>
      <c r="B17" s="38"/>
      <c r="C17" s="30">
        <v>3</v>
      </c>
      <c r="D17" s="29">
        <f t="shared" si="2"/>
        <v>153663.99999999997</v>
      </c>
      <c r="E17" s="29">
        <f t="shared" si="0"/>
        <v>38415.999999999993</v>
      </c>
      <c r="F17" s="29">
        <f t="shared" si="0"/>
        <v>13829.759999999997</v>
      </c>
      <c r="G17" s="29">
        <f t="shared" si="0"/>
        <v>3457.4399999999991</v>
      </c>
      <c r="H17" s="29">
        <f t="shared" si="0"/>
        <v>864.35999999999979</v>
      </c>
      <c r="I17" s="25"/>
      <c r="J17" s="38"/>
      <c r="K17" s="30">
        <v>3</v>
      </c>
      <c r="L17" s="29">
        <f t="shared" si="3"/>
        <v>108900</v>
      </c>
      <c r="M17" s="29">
        <f t="shared" si="1"/>
        <v>27225</v>
      </c>
      <c r="N17" s="29">
        <f t="shared" si="1"/>
        <v>9800.9999999999964</v>
      </c>
      <c r="O17" s="29">
        <f t="shared" si="1"/>
        <v>2450.2499999999991</v>
      </c>
      <c r="P17" s="29">
        <f t="shared" si="1"/>
        <v>612.56249999999977</v>
      </c>
      <c r="Q17" s="23"/>
      <c r="R17" s="23"/>
    </row>
    <row r="18" spans="1:18" x14ac:dyDescent="0.2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x14ac:dyDescent="0.2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x14ac:dyDescent="0.2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9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31"/>
      <c r="M21" s="23"/>
      <c r="N21" s="23"/>
      <c r="O21" s="23"/>
      <c r="P21" s="23"/>
      <c r="Q21" s="23"/>
      <c r="R21" s="23"/>
    </row>
    <row r="22" spans="1:18" ht="19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31"/>
      <c r="M22" s="23"/>
      <c r="N22" s="23"/>
      <c r="O22" s="23"/>
      <c r="P22" s="23"/>
      <c r="Q22" s="23"/>
      <c r="R22" s="23"/>
    </row>
    <row r="23" spans="1:18" x14ac:dyDescent="0.2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5">
    <mergeCell ref="B1:P1"/>
    <mergeCell ref="D4:H4"/>
    <mergeCell ref="L4:P4"/>
    <mergeCell ref="B6:B17"/>
    <mergeCell ref="J6:J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EB84-2C0B-BE45-993A-0333803314C3}">
  <dimension ref="A1:B7"/>
  <sheetViews>
    <sheetView workbookViewId="0">
      <selection activeCell="M32" sqref="M32"/>
    </sheetView>
  </sheetViews>
  <sheetFormatPr baseColWidth="10" defaultRowHeight="16" x14ac:dyDescent="0.2"/>
  <sheetData>
    <row r="1" spans="1:2" ht="32" x14ac:dyDescent="0.2">
      <c r="A1" s="39" t="s">
        <v>19</v>
      </c>
      <c r="B1" s="39" t="s">
        <v>20</v>
      </c>
    </row>
    <row r="2" spans="1:2" x14ac:dyDescent="0.2">
      <c r="A2" s="40">
        <v>10</v>
      </c>
      <c r="B2" s="40">
        <v>4.7E-2</v>
      </c>
    </row>
    <row r="3" spans="1:2" x14ac:dyDescent="0.2">
      <c r="A3" s="40">
        <v>25</v>
      </c>
      <c r="B3" s="40">
        <v>0.115</v>
      </c>
    </row>
    <row r="4" spans="1:2" x14ac:dyDescent="0.2">
      <c r="A4" s="40">
        <v>40</v>
      </c>
      <c r="B4" s="40">
        <v>0.185</v>
      </c>
    </row>
    <row r="5" spans="1:2" x14ac:dyDescent="0.2">
      <c r="A5" s="40">
        <v>50</v>
      </c>
      <c r="B5" s="40">
        <v>0.23100000000000001</v>
      </c>
    </row>
    <row r="6" spans="1:2" x14ac:dyDescent="0.2">
      <c r="A6" s="40">
        <v>75</v>
      </c>
      <c r="B6" s="40">
        <v>0.35599999999999998</v>
      </c>
    </row>
    <row r="7" spans="1:2" x14ac:dyDescent="0.2">
      <c r="A7" s="40">
        <v>100</v>
      </c>
      <c r="B7" s="40">
        <v>0.48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Results</vt:lpstr>
      <vt:lpstr>Planning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2025-11-24T13:24:02Z</dcterms:created>
  <dcterms:modified xsi:type="dcterms:W3CDTF">2025-11-26T00:09:10Z</dcterms:modified>
</cp:coreProperties>
</file>